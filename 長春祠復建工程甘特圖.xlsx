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63882\PycharmProjects\Gantt\"/>
    </mc:Choice>
  </mc:AlternateContent>
  <xr:revisionPtr revIDLastSave="0" documentId="13_ncr:1_{0422943C-F5E2-4F18-B118-82A8590BAC49}" xr6:coauthVersionLast="47" xr6:coauthVersionMax="47" xr10:uidLastSave="{00000000-0000-0000-0000-000000000000}"/>
  <bookViews>
    <workbookView xWindow="-25800" yWindow="-5280" windowWidth="25800" windowHeight="21000" xr2:uid="{FAECEA9D-5571-49E1-9713-18D6F11A43C1}"/>
  </bookViews>
  <sheets>
    <sheet name="長春祠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B11" i="4"/>
  <c r="C3" i="4"/>
  <c r="B4" i="4"/>
  <c r="C4" i="4" s="1"/>
  <c r="B5" i="4" s="1"/>
  <c r="C5" i="4" s="1"/>
  <c r="B6" i="4" s="1"/>
  <c r="C6" i="4" s="1"/>
  <c r="B3" i="4"/>
  <c r="B7" i="4" l="1"/>
  <c r="C7" i="4" l="1"/>
  <c r="C11" i="4" s="1"/>
  <c r="B8" i="4" l="1"/>
  <c r="B9" i="4" l="1"/>
  <c r="C8" i="4"/>
  <c r="B10" i="4"/>
  <c r="C10" i="4" s="1"/>
  <c r="B12" i="4" s="1"/>
  <c r="C12" i="4" s="1"/>
  <c r="C9" i="4" l="1"/>
  <c r="C13" i="4"/>
  <c r="B14" i="4" s="1"/>
  <c r="C14" i="4" s="1"/>
</calcChain>
</file>

<file path=xl/sharedStrings.xml><?xml version="1.0" encoding="utf-8"?>
<sst xmlns="http://schemas.openxmlformats.org/spreadsheetml/2006/main" count="16" uniqueCount="16">
  <si>
    <t>基本設計</t>
  </si>
  <si>
    <t>細部設計發包</t>
  </si>
  <si>
    <t>細部設計作業</t>
  </si>
  <si>
    <t>施工計畫書及動員</t>
  </si>
  <si>
    <t>陡坡浮石、落石刷坡與清除</t>
  </si>
  <si>
    <t>岩栓掛網護坡(含搭架)</t>
  </si>
  <si>
    <t>石籠擋土牆(H=3m)</t>
  </si>
  <si>
    <t>無框架式護坡</t>
  </si>
  <si>
    <t>高焦耳網工法</t>
  </si>
  <si>
    <t>竣工文件及驗收</t>
  </si>
  <si>
    <t>Start</t>
    <phoneticPr fontId="1" type="noConversion"/>
  </si>
  <si>
    <t>Finish</t>
    <phoneticPr fontId="1" type="noConversion"/>
  </si>
  <si>
    <t>Task</t>
    <phoneticPr fontId="1" type="noConversion"/>
  </si>
  <si>
    <t>工程發包</t>
    <phoneticPr fontId="1" type="noConversion"/>
  </si>
  <si>
    <t>基本設計審議</t>
    <phoneticPr fontId="1" type="noConversion"/>
  </si>
  <si>
    <t>明隧道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</si>
</sst>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Calibri"/>
      <family val="2"/>
      <charset val="136"/>
    </font>
    <font>
      <sz val="12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4" fontId="3" fillId="0" borderId="0" xfId="0" applyNumberFormat="1" applyFont="1">
      <alignment vertical="center"/>
    </xf>
    <xf numFmtId="0" fontId="5" fillId="0" borderId="0" xfId="0" applyFont="1">
      <alignment vertical="center"/>
    </xf>
    <xf numFmtId="14" fontId="5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3164-CBD6-4548-9938-1751AE73C3DD}">
  <sheetPr codeName="工作表3">
    <tabColor rgb="FFFFFF00"/>
  </sheetPr>
  <dimension ref="A1:U14"/>
  <sheetViews>
    <sheetView tabSelected="1" workbookViewId="0">
      <selection activeCell="A11" sqref="A11"/>
    </sheetView>
  </sheetViews>
  <sheetFormatPr defaultRowHeight="15.6"/>
  <cols>
    <col min="1" max="1" width="44.88671875" style="2" customWidth="1"/>
    <col min="2" max="9" width="12.44140625" style="2" bestFit="1" customWidth="1"/>
    <col min="10" max="16384" width="8.88671875" style="2"/>
  </cols>
  <sheetData>
    <row r="1" spans="1:21">
      <c r="A1" s="2" t="s">
        <v>12</v>
      </c>
      <c r="B1" s="2" t="s">
        <v>10</v>
      </c>
      <c r="C1" s="2" t="s">
        <v>11</v>
      </c>
      <c r="I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2" t="s">
        <v>0</v>
      </c>
      <c r="B2" s="4">
        <v>45748</v>
      </c>
      <c r="C2" s="4">
        <v>45823</v>
      </c>
      <c r="D2" s="4"/>
      <c r="E2" s="4"/>
      <c r="F2" s="4"/>
      <c r="G2" s="4"/>
      <c r="H2" s="4"/>
      <c r="I2" s="4"/>
    </row>
    <row r="3" spans="1:21">
      <c r="A3" s="6" t="s">
        <v>14</v>
      </c>
      <c r="B3" s="4">
        <f>C2</f>
        <v>45823</v>
      </c>
      <c r="C3" s="4">
        <f>B3+60</f>
        <v>45883</v>
      </c>
      <c r="D3" s="4"/>
      <c r="E3" s="4"/>
      <c r="F3" s="4"/>
      <c r="G3" s="4"/>
      <c r="H3" s="4"/>
      <c r="I3" s="4"/>
    </row>
    <row r="4" spans="1:21">
      <c r="A4" s="2" t="s">
        <v>1</v>
      </c>
      <c r="B4" s="4">
        <f>C3</f>
        <v>45883</v>
      </c>
      <c r="C4" s="4">
        <f>B4+90</f>
        <v>45973</v>
      </c>
    </row>
    <row r="5" spans="1:21">
      <c r="A5" s="2" t="s">
        <v>2</v>
      </c>
      <c r="B5" s="4">
        <f>C4</f>
        <v>45973</v>
      </c>
      <c r="C5" s="4">
        <f>B5+123</f>
        <v>46096</v>
      </c>
    </row>
    <row r="6" spans="1:21">
      <c r="A6" s="5" t="s">
        <v>13</v>
      </c>
      <c r="B6" s="4">
        <f>C5</f>
        <v>46096</v>
      </c>
      <c r="C6" s="4">
        <f>B6+91</f>
        <v>46187</v>
      </c>
    </row>
    <row r="7" spans="1:21">
      <c r="A7" s="2" t="s">
        <v>3</v>
      </c>
      <c r="B7" s="4">
        <f>C6</f>
        <v>46187</v>
      </c>
      <c r="C7" s="4">
        <f>B7+45</f>
        <v>46232</v>
      </c>
    </row>
    <row r="8" spans="1:21">
      <c r="A8" s="1" t="s">
        <v>4</v>
      </c>
      <c r="B8" s="4">
        <f>C7</f>
        <v>46232</v>
      </c>
      <c r="C8" s="4">
        <f>B8+212</f>
        <v>46444</v>
      </c>
    </row>
    <row r="9" spans="1:21">
      <c r="A9" s="1" t="s">
        <v>5</v>
      </c>
      <c r="B9" s="4">
        <f>B8+90</f>
        <v>46322</v>
      </c>
      <c r="C9" s="4">
        <f>B9+225+2</f>
        <v>46549</v>
      </c>
    </row>
    <row r="10" spans="1:21">
      <c r="A10" s="1" t="s">
        <v>15</v>
      </c>
      <c r="B10" s="4">
        <f>B8+90</f>
        <v>46322</v>
      </c>
      <c r="C10" s="4">
        <f>B10+151</f>
        <v>46473</v>
      </c>
    </row>
    <row r="11" spans="1:21">
      <c r="A11" s="1" t="s">
        <v>6</v>
      </c>
      <c r="B11" s="4">
        <f>C8+30</f>
        <v>46474</v>
      </c>
      <c r="C11" s="4">
        <f>B11+30</f>
        <v>46504</v>
      </c>
    </row>
    <row r="12" spans="1:21">
      <c r="A12" s="1" t="s">
        <v>7</v>
      </c>
      <c r="B12" s="4">
        <f>C10</f>
        <v>46473</v>
      </c>
      <c r="C12" s="4">
        <f>B12+30</f>
        <v>46503</v>
      </c>
    </row>
    <row r="13" spans="1:21">
      <c r="A13" s="1" t="s">
        <v>8</v>
      </c>
      <c r="B13" s="4">
        <f>B9+150</f>
        <v>46472</v>
      </c>
      <c r="C13" s="4">
        <f>B13+121</f>
        <v>46593</v>
      </c>
    </row>
    <row r="14" spans="1:21">
      <c r="A14" s="1" t="s">
        <v>9</v>
      </c>
      <c r="B14" s="4">
        <f>C13</f>
        <v>46593</v>
      </c>
      <c r="C14" s="4">
        <f>B14+60</f>
        <v>46653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長春祠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 地工部 張桂瑛</dc:creator>
  <cp:lastModifiedBy>GT 地工部 林信宏</cp:lastModifiedBy>
  <dcterms:created xsi:type="dcterms:W3CDTF">2025-02-05T08:15:41Z</dcterms:created>
  <dcterms:modified xsi:type="dcterms:W3CDTF">2025-03-21T12:29:44Z</dcterms:modified>
</cp:coreProperties>
</file>