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63882\PycharmProjects\Gantt\"/>
    </mc:Choice>
  </mc:AlternateContent>
  <xr:revisionPtr revIDLastSave="0" documentId="13_ncr:1_{99F45BC8-F480-4EE4-8116-9EC8CEDE33BE}" xr6:coauthVersionLast="47" xr6:coauthVersionMax="47" xr10:uidLastSave="{00000000-0000-0000-0000-000000000000}"/>
  <bookViews>
    <workbookView xWindow="-32352" yWindow="-5280" windowWidth="32472" windowHeight="20880" xr2:uid="{FAECEA9D-5571-49E1-9713-18D6F11A43C1}"/>
  </bookViews>
  <sheets>
    <sheet name="布洛灣" sheetId="10" r:id="rId1"/>
    <sheet name="長春祠Final" sheetId="9" r:id="rId2"/>
    <sheet name="長春祠B1加替代" sheetId="7" r:id="rId3"/>
    <sheet name="長春祠B1" sheetId="4" r:id="rId4"/>
    <sheet name="長春祠250319" sheetId="5" r:id="rId5"/>
    <sheet name="工率" sheetId="6" r:id="rId6"/>
    <sheet name="工率 B1+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9" l="1"/>
  <c r="C14" i="9" s="1"/>
  <c r="C11" i="9"/>
  <c r="B11" i="9"/>
  <c r="D3" i="6" l="1"/>
  <c r="E3" i="6" s="1"/>
  <c r="E11" i="6"/>
  <c r="B6" i="6"/>
  <c r="D6" i="6" s="1"/>
  <c r="E6" i="6" s="1"/>
  <c r="C2" i="9"/>
  <c r="B3" i="9" s="1"/>
  <c r="C3" i="9" s="1"/>
  <c r="B4" i="9" s="1"/>
  <c r="C4" i="9" s="1"/>
  <c r="B5" i="9" s="1"/>
  <c r="C5" i="9" s="1"/>
  <c r="B6" i="9" s="1"/>
  <c r="C6" i="9" s="1"/>
  <c r="C13" i="7"/>
  <c r="D5" i="8"/>
  <c r="D9" i="8"/>
  <c r="E9" i="8" s="1"/>
  <c r="D8" i="8"/>
  <c r="E8" i="8" s="1"/>
  <c r="D7" i="8"/>
  <c r="E7" i="8" s="1"/>
  <c r="D6" i="8"/>
  <c r="E6" i="8" s="1"/>
  <c r="E5" i="8"/>
  <c r="E4" i="8"/>
  <c r="D4" i="8"/>
  <c r="D3" i="8"/>
  <c r="E3" i="8" s="1"/>
  <c r="D2" i="8"/>
  <c r="E2" i="8" s="1"/>
  <c r="B2" i="8"/>
  <c r="D10" i="6"/>
  <c r="E10" i="6" s="1"/>
  <c r="B3" i="7"/>
  <c r="C3" i="7" s="1"/>
  <c r="B4" i="7" s="1"/>
  <c r="C4" i="7" s="1"/>
  <c r="B5" i="7" s="1"/>
  <c r="C5" i="7" s="1"/>
  <c r="B6" i="7" s="1"/>
  <c r="C6" i="7" s="1"/>
  <c r="B7" i="7" s="1"/>
  <c r="C7" i="7" s="1"/>
  <c r="B13" i="7" s="1"/>
  <c r="C7" i="4"/>
  <c r="C6" i="4"/>
  <c r="E7" i="6"/>
  <c r="D9" i="6"/>
  <c r="E9" i="6" s="1"/>
  <c r="D8" i="6"/>
  <c r="E8" i="6" s="1"/>
  <c r="D7" i="6"/>
  <c r="D5" i="6"/>
  <c r="E5" i="6" s="1"/>
  <c r="D4" i="6"/>
  <c r="E4" i="6" s="1"/>
  <c r="D2" i="6"/>
  <c r="E2" i="6" s="1"/>
  <c r="B3" i="5"/>
  <c r="C3" i="5" s="1"/>
  <c r="B4" i="5" s="1"/>
  <c r="C4" i="5" s="1"/>
  <c r="B5" i="5" s="1"/>
  <c r="C5" i="5" s="1"/>
  <c r="B6" i="5" s="1"/>
  <c r="C6" i="5" s="1"/>
  <c r="B7" i="5" s="1"/>
  <c r="C7" i="5" s="1"/>
  <c r="B8" i="5" s="1"/>
  <c r="C3" i="4"/>
  <c r="B4" i="4"/>
  <c r="C4" i="4" s="1"/>
  <c r="B5" i="4" s="1"/>
  <c r="C5" i="4" s="1"/>
  <c r="B6" i="4" s="1"/>
  <c r="B3" i="4"/>
  <c r="B8" i="9" l="1"/>
  <c r="C8" i="9" s="1"/>
  <c r="B9" i="9" s="1"/>
  <c r="C9" i="9" s="1"/>
  <c r="B7" i="9"/>
  <c r="C7" i="9" s="1"/>
  <c r="B12" i="9"/>
  <c r="B9" i="7"/>
  <c r="B8" i="7"/>
  <c r="C8" i="7" s="1"/>
  <c r="B10" i="5"/>
  <c r="C10" i="5" s="1"/>
  <c r="B12" i="5" s="1"/>
  <c r="C12" i="5" s="1"/>
  <c r="C8" i="5"/>
  <c r="B11" i="5" s="1"/>
  <c r="C11" i="5" s="1"/>
  <c r="B9" i="5"/>
  <c r="B7" i="4"/>
  <c r="B10" i="9" l="1"/>
  <c r="C10" i="9" s="1"/>
  <c r="C12" i="9"/>
  <c r="B13" i="9" s="1"/>
  <c r="C13" i="9" s="1"/>
  <c r="C9" i="7"/>
  <c r="B10" i="7" s="1"/>
  <c r="C10" i="7" s="1"/>
  <c r="B11" i="7" s="1"/>
  <c r="C11" i="7" s="1"/>
  <c r="B13" i="5"/>
  <c r="C13" i="5" s="1"/>
  <c r="B14" i="5" s="1"/>
  <c r="C14" i="5" s="1"/>
  <c r="C9" i="5"/>
  <c r="B12" i="7" l="1"/>
  <c r="C12" i="7" s="1"/>
  <c r="B8" i="4"/>
  <c r="C8" i="4" s="1"/>
  <c r="B9" i="4"/>
  <c r="C9" i="4" s="1"/>
  <c r="B10" i="4" s="1"/>
  <c r="C10" i="4" s="1"/>
  <c r="B11" i="4" s="1"/>
  <c r="C11" i="4" s="1"/>
  <c r="B12" i="4" s="1"/>
  <c r="C12" i="4" s="1"/>
  <c r="B13" i="4"/>
  <c r="C13" i="4" s="1"/>
  <c r="B14" i="4" s="1"/>
  <c r="C14" i="4" s="1"/>
</calcChain>
</file>

<file path=xl/sharedStrings.xml><?xml version="1.0" encoding="utf-8"?>
<sst xmlns="http://schemas.openxmlformats.org/spreadsheetml/2006/main" count="155" uniqueCount="65">
  <si>
    <t>基本設計</t>
  </si>
  <si>
    <t>細部設計發包</t>
  </si>
  <si>
    <t>細部設計作業</t>
  </si>
  <si>
    <t>施工計畫書及動員</t>
  </si>
  <si>
    <t>陡坡浮石、落石刷坡與清除</t>
  </si>
  <si>
    <t>岩栓掛網護坡(含搭架)</t>
  </si>
  <si>
    <t>石籠擋土牆(H=3m)</t>
  </si>
  <si>
    <t>無框架式護坡</t>
  </si>
  <si>
    <t>高焦耳網工法</t>
  </si>
  <si>
    <t>竣工文件及驗收</t>
  </si>
  <si>
    <t>Start</t>
    <phoneticPr fontId="1" type="noConversion"/>
  </si>
  <si>
    <t>Finish</t>
    <phoneticPr fontId="1" type="noConversion"/>
  </si>
  <si>
    <t>Task</t>
    <phoneticPr fontId="1" type="noConversion"/>
  </si>
  <si>
    <t>工程發包</t>
    <phoneticPr fontId="1" type="noConversion"/>
  </si>
  <si>
    <t>基本設計審議</t>
    <phoneticPr fontId="1" type="noConversion"/>
  </si>
  <si>
    <t>明隧道</t>
    <phoneticPr fontId="1" type="noConversion"/>
  </si>
  <si>
    <t>掛網岩栓護坡</t>
    <phoneticPr fontId="1" type="noConversion"/>
  </si>
  <si>
    <t>工作項目</t>
    <phoneticPr fontId="1" type="noConversion"/>
  </si>
  <si>
    <t>數量</t>
    <phoneticPr fontId="1" type="noConversion"/>
  </si>
  <si>
    <t>工率</t>
    <phoneticPr fontId="1" type="noConversion"/>
  </si>
  <si>
    <t>無框架式護坡</t>
    <phoneticPr fontId="1" type="noConversion"/>
  </si>
  <si>
    <t>擋土牆</t>
    <phoneticPr fontId="1" type="noConversion"/>
  </si>
  <si>
    <t>工期(天)</t>
    <phoneticPr fontId="1" type="noConversion"/>
  </si>
  <si>
    <t>消能式防落石網</t>
    <phoneticPr fontId="1" type="noConversion"/>
  </si>
  <si>
    <t>土石流防護網</t>
    <phoneticPr fontId="1" type="noConversion"/>
  </si>
  <si>
    <t>覆蓋式防落石網</t>
    <phoneticPr fontId="1" type="noConversion"/>
  </si>
  <si>
    <t>1000m2，105天</t>
    <phoneticPr fontId="1" type="noConversion"/>
  </si>
  <si>
    <t>1000m2，80天</t>
    <phoneticPr fontId="1" type="noConversion"/>
  </si>
  <si>
    <t>工期(月)</t>
    <phoneticPr fontId="1" type="noConversion"/>
  </si>
  <si>
    <t>20m，10天</t>
    <phoneticPr fontId="1" type="noConversion"/>
  </si>
  <si>
    <t>5m，15天</t>
    <phoneticPr fontId="1" type="noConversion"/>
  </si>
  <si>
    <t>1m，1.5天</t>
    <phoneticPr fontId="1" type="noConversion"/>
  </si>
  <si>
    <t>口袋式防護網</t>
    <phoneticPr fontId="1" type="noConversion"/>
  </si>
  <si>
    <t>口袋式防落石網</t>
    <phoneticPr fontId="1" type="noConversion"/>
  </si>
  <si>
    <t>RC攔石擋土牆+消能井</t>
    <phoneticPr fontId="1" type="noConversion"/>
  </si>
  <si>
    <t>5m，17天</t>
    <phoneticPr fontId="1" type="noConversion"/>
  </si>
  <si>
    <t>明隧道(山側開挖)</t>
    <phoneticPr fontId="1" type="noConversion"/>
  </si>
  <si>
    <t>RC防落石棚</t>
    <phoneticPr fontId="1" type="noConversion"/>
  </si>
  <si>
    <t>10m</t>
    <phoneticPr fontId="1" type="noConversion"/>
  </si>
  <si>
    <t>30天</t>
    <phoneticPr fontId="1" type="noConversion"/>
  </si>
  <si>
    <t>1000m2，40天</t>
    <phoneticPr fontId="1" type="noConversion"/>
  </si>
  <si>
    <t>備註</t>
    <phoneticPr fontId="1" type="noConversion"/>
  </si>
  <si>
    <t>1組工班</t>
    <phoneticPr fontId="1" type="noConversion"/>
  </si>
  <si>
    <t>2祖工班</t>
    <phoneticPr fontId="1" type="noConversion"/>
  </si>
  <si>
    <t>基本設計審議</t>
  </si>
  <si>
    <t>工程發包</t>
  </si>
  <si>
    <t>刷坡</t>
  </si>
  <si>
    <t>消能式落石防護網</t>
  </si>
  <si>
    <t xml:space="preserve">覆蓋式落石防護網 </t>
  </si>
  <si>
    <t>開口隔幕型落防護網</t>
  </si>
  <si>
    <t>防落石柵</t>
  </si>
  <si>
    <t>半重力式擋土牆+防落石柵</t>
  </si>
  <si>
    <t>石籠擋土牆</t>
  </si>
  <si>
    <t>草種噴植</t>
  </si>
  <si>
    <t>漿砌卵石擋土牆</t>
  </si>
  <si>
    <t>自由型框+岩栓</t>
  </si>
  <si>
    <t xml:space="preserve">梳子壩 </t>
  </si>
  <si>
    <t>型鋼攔石柵</t>
  </si>
  <si>
    <t>石籠攔砂擋牆</t>
  </si>
  <si>
    <t>石籠護岸</t>
  </si>
  <si>
    <t>拍漿溝</t>
  </si>
  <si>
    <t>RCP涵管Ф=1.5m</t>
  </si>
  <si>
    <t>集水井</t>
  </si>
  <si>
    <t>路面修復</t>
  </si>
  <si>
    <t>護欄修復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</si>
</sst>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Calibr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"/>
      <family val="2"/>
    </font>
    <font>
      <sz val="12"/>
      <color rgb="FFFF0000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4" fontId="3" fillId="0" borderId="0" xfId="0" applyNumberFormat="1" applyFont="1">
      <alignment vertical="center"/>
    </xf>
    <xf numFmtId="0" fontId="5" fillId="0" borderId="0" xfId="0" applyFont="1">
      <alignment vertical="center"/>
    </xf>
    <xf numFmtId="14" fontId="5" fillId="0" borderId="0" xfId="0" applyNumberFormat="1" applyFont="1">
      <alignment vertical="center"/>
    </xf>
    <xf numFmtId="0" fontId="2" fillId="2" borderId="0" xfId="0" applyFont="1" applyFill="1">
      <alignment vertical="center"/>
    </xf>
    <xf numFmtId="14" fontId="6" fillId="0" borderId="0" xfId="0" applyNumberFormat="1" applyFont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0" fontId="0" fillId="4" borderId="0" xfId="0" applyFill="1">
      <alignment vertical="center"/>
    </xf>
    <xf numFmtId="14" fontId="7" fillId="0" borderId="0" xfId="0" applyNumberFormat="1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D8B3E-AB80-4BFD-8C2D-33A8EC80CB40}">
  <sheetPr>
    <tabColor rgb="FFFFFF00"/>
  </sheetPr>
  <dimension ref="A1:U46"/>
  <sheetViews>
    <sheetView tabSelected="1" topLeftCell="A12" workbookViewId="0">
      <selection activeCell="B53" sqref="B53"/>
    </sheetView>
  </sheetViews>
  <sheetFormatPr defaultRowHeight="15.6"/>
  <cols>
    <col min="1" max="1" width="28.88671875" style="2" bestFit="1" customWidth="1"/>
    <col min="2" max="9" width="12.44140625" style="2" bestFit="1" customWidth="1"/>
    <col min="10" max="16384" width="8.88671875" style="2"/>
  </cols>
  <sheetData>
    <row r="1" spans="1:21">
      <c r="A1" s="2" t="s">
        <v>12</v>
      </c>
      <c r="B1" s="2" t="s">
        <v>10</v>
      </c>
      <c r="C1" s="2" t="s">
        <v>11</v>
      </c>
      <c r="I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>
      <c r="A2" s="6" t="s">
        <v>44</v>
      </c>
      <c r="B2" s="4">
        <v>45992</v>
      </c>
      <c r="C2" s="4">
        <v>46052</v>
      </c>
      <c r="D2" s="4"/>
      <c r="E2" s="4"/>
      <c r="F2" s="4"/>
      <c r="G2" s="4"/>
      <c r="H2" s="4"/>
      <c r="I2" s="4"/>
    </row>
    <row r="3" spans="1:21">
      <c r="A3" s="6" t="s">
        <v>2</v>
      </c>
      <c r="B3" s="4">
        <v>46022</v>
      </c>
      <c r="C3" s="4">
        <v>46112</v>
      </c>
    </row>
    <row r="4" spans="1:21">
      <c r="A4" s="5" t="s">
        <v>45</v>
      </c>
      <c r="B4" s="4">
        <v>46112</v>
      </c>
      <c r="C4" s="4">
        <v>46172</v>
      </c>
    </row>
    <row r="5" spans="1:21">
      <c r="A5" s="2" t="s">
        <v>3</v>
      </c>
      <c r="B5" s="4">
        <v>46172</v>
      </c>
      <c r="C5" s="4">
        <v>46202</v>
      </c>
    </row>
    <row r="6" spans="1:21">
      <c r="A6" s="7" t="s">
        <v>46</v>
      </c>
      <c r="B6" s="4">
        <v>46202</v>
      </c>
      <c r="C6" s="4">
        <v>46285</v>
      </c>
    </row>
    <row r="7" spans="1:21">
      <c r="A7" s="7" t="s">
        <v>47</v>
      </c>
      <c r="B7" s="8">
        <v>46257.333333333336</v>
      </c>
      <c r="C7" s="8">
        <v>46497.333333333336</v>
      </c>
    </row>
    <row r="8" spans="1:21" ht="16.2">
      <c r="A8" s="9" t="s">
        <v>48</v>
      </c>
      <c r="B8" s="8">
        <v>46512.333333333336</v>
      </c>
      <c r="C8" s="8">
        <v>46587.333333333336</v>
      </c>
    </row>
    <row r="9" spans="1:21" ht="16.2">
      <c r="A9" s="9" t="s">
        <v>49</v>
      </c>
      <c r="B9" s="4">
        <v>46497.333333333336</v>
      </c>
      <c r="C9" s="4">
        <v>46512.333333333336</v>
      </c>
    </row>
    <row r="10" spans="1:21" ht="16.2">
      <c r="A10" s="10" t="s">
        <v>50</v>
      </c>
    </row>
    <row r="11" spans="1:21" ht="16.2">
      <c r="A11" s="10" t="s">
        <v>51</v>
      </c>
      <c r="B11" s="4">
        <v>46502</v>
      </c>
      <c r="C11" s="4">
        <v>46580</v>
      </c>
    </row>
    <row r="12" spans="1:21" ht="16.2">
      <c r="A12" s="10" t="s">
        <v>52</v>
      </c>
      <c r="B12" s="4">
        <v>46186.555555555555</v>
      </c>
      <c r="C12" s="4">
        <v>46353.555555555555</v>
      </c>
    </row>
    <row r="13" spans="1:21" ht="16.2">
      <c r="A13" s="10" t="s">
        <v>53</v>
      </c>
      <c r="B13" s="4">
        <v>46353.555555555555</v>
      </c>
      <c r="C13" s="4">
        <v>46359.555555555555</v>
      </c>
    </row>
    <row r="14" spans="1:21">
      <c r="A14" s="11" t="s">
        <v>54</v>
      </c>
      <c r="B14" s="4">
        <v>46373.555555555555</v>
      </c>
      <c r="C14" s="4">
        <v>46391.555555555555</v>
      </c>
    </row>
    <row r="15" spans="1:21" ht="16.2">
      <c r="A15" s="9" t="s">
        <v>55</v>
      </c>
    </row>
    <row r="16" spans="1:21" ht="16.2">
      <c r="A16" s="12" t="s">
        <v>56</v>
      </c>
      <c r="B16" s="4">
        <v>46439.333333333336</v>
      </c>
      <c r="C16" s="4">
        <v>46533.333333333336</v>
      </c>
    </row>
    <row r="17" spans="1:3" ht="16.2">
      <c r="A17" s="12" t="s">
        <v>57</v>
      </c>
    </row>
    <row r="18" spans="1:3" ht="16.2">
      <c r="A18" s="10" t="s">
        <v>58</v>
      </c>
      <c r="B18" s="4">
        <v>46359.555555555555</v>
      </c>
      <c r="C18" s="4">
        <v>46373.555555555555</v>
      </c>
    </row>
    <row r="19" spans="1:3" ht="16.2">
      <c r="A19" s="10" t="s">
        <v>59</v>
      </c>
    </row>
    <row r="20" spans="1:3" ht="16.2">
      <c r="A20" s="12" t="s">
        <v>60</v>
      </c>
      <c r="B20" s="4">
        <v>46317.333333333336</v>
      </c>
      <c r="C20" s="4">
        <v>46363.333333333336</v>
      </c>
    </row>
    <row r="21" spans="1:3" ht="16.2">
      <c r="A21" s="12" t="s">
        <v>61</v>
      </c>
      <c r="B21" s="8">
        <v>46363.333333333336</v>
      </c>
      <c r="C21" s="8">
        <v>46439.333333333336</v>
      </c>
    </row>
    <row r="22" spans="1:3" ht="16.2">
      <c r="A22" s="12" t="s">
        <v>62</v>
      </c>
      <c r="B22" s="4">
        <v>46257.333333333336</v>
      </c>
      <c r="C22" s="4">
        <v>46317.333333333336</v>
      </c>
    </row>
    <row r="23" spans="1:3" ht="16.2">
      <c r="A23" s="10" t="s">
        <v>63</v>
      </c>
      <c r="B23" s="4">
        <v>46391.555555555555</v>
      </c>
      <c r="C23" s="4">
        <v>46405.555555555555</v>
      </c>
    </row>
    <row r="24" spans="1:3" ht="16.2">
      <c r="A24" s="10" t="s">
        <v>64</v>
      </c>
    </row>
    <row r="25" spans="1:3" ht="16.2">
      <c r="A25" s="9" t="s">
        <v>48</v>
      </c>
      <c r="B25" s="4">
        <v>46587.333333333336</v>
      </c>
      <c r="C25" s="4">
        <v>46647.333333333336</v>
      </c>
    </row>
    <row r="26" spans="1:3" ht="16.2">
      <c r="A26" s="10" t="s">
        <v>50</v>
      </c>
      <c r="B26" s="4">
        <v>46580</v>
      </c>
      <c r="C26" s="4">
        <v>46593</v>
      </c>
    </row>
    <row r="27" spans="1:3" ht="16.2">
      <c r="A27" s="12" t="s">
        <v>56</v>
      </c>
      <c r="B27" s="4">
        <v>46541.333333333336</v>
      </c>
      <c r="C27" s="4">
        <v>46560.333333333336</v>
      </c>
    </row>
    <row r="28" spans="1:3" ht="16.2">
      <c r="A28" s="12" t="s">
        <v>57</v>
      </c>
      <c r="B28" s="4">
        <v>46533.333333333336</v>
      </c>
      <c r="C28" s="4">
        <v>46541.333333333336</v>
      </c>
    </row>
    <row r="29" spans="1:3" ht="16.2">
      <c r="A29" s="12" t="s">
        <v>60</v>
      </c>
      <c r="B29" s="4">
        <v>46663.333333333336</v>
      </c>
      <c r="C29" s="4">
        <v>46707.333333333336</v>
      </c>
    </row>
    <row r="30" spans="1:3" ht="16.2">
      <c r="A30" s="12" t="s">
        <v>61</v>
      </c>
      <c r="B30" s="13">
        <v>46605.333333333336</v>
      </c>
      <c r="C30" s="13">
        <v>46663.333333333336</v>
      </c>
    </row>
    <row r="31" spans="1:3" ht="16.2">
      <c r="A31" s="12" t="s">
        <v>62</v>
      </c>
      <c r="B31" s="4">
        <v>46560.333333333336</v>
      </c>
      <c r="C31" s="4">
        <v>46605.333333333336</v>
      </c>
    </row>
    <row r="32" spans="1:3" ht="16.2">
      <c r="A32" s="9" t="s">
        <v>48</v>
      </c>
      <c r="B32" s="4">
        <v>46647.333333333336</v>
      </c>
      <c r="C32" s="4">
        <v>46662.333333333336</v>
      </c>
    </row>
    <row r="33" spans="1:3" ht="16.2">
      <c r="A33" s="10" t="s">
        <v>50</v>
      </c>
      <c r="B33" s="4">
        <v>46627</v>
      </c>
      <c r="C33" s="4">
        <v>46637</v>
      </c>
    </row>
    <row r="34" spans="1:3" ht="16.2">
      <c r="A34" s="10" t="s">
        <v>51</v>
      </c>
      <c r="B34" s="4">
        <v>46593</v>
      </c>
      <c r="C34" s="4">
        <v>46627</v>
      </c>
    </row>
    <row r="35" spans="1:3" ht="16.2">
      <c r="A35" s="12" t="s">
        <v>56</v>
      </c>
      <c r="B35" s="4">
        <v>46715.333333333336</v>
      </c>
      <c r="C35" s="4">
        <v>46728.333333333336</v>
      </c>
    </row>
    <row r="36" spans="1:3" ht="16.2">
      <c r="A36" s="12" t="s">
        <v>57</v>
      </c>
      <c r="B36" s="4">
        <v>46707.333333333336</v>
      </c>
      <c r="C36" s="4">
        <v>46715.333333333336</v>
      </c>
    </row>
    <row r="37" spans="1:3" ht="16.2">
      <c r="A37" s="12" t="s">
        <v>61</v>
      </c>
      <c r="B37" s="4">
        <v>46728.333333333336</v>
      </c>
      <c r="C37" s="4">
        <v>46754.333333333336</v>
      </c>
    </row>
    <row r="38" spans="1:3" ht="16.2">
      <c r="A38" s="10" t="s">
        <v>63</v>
      </c>
      <c r="B38" s="4">
        <v>46637</v>
      </c>
      <c r="C38" s="4">
        <v>46639</v>
      </c>
    </row>
    <row r="39" spans="1:3">
      <c r="A39" s="7" t="s">
        <v>46</v>
      </c>
      <c r="B39" s="4">
        <v>46662.333333333336</v>
      </c>
      <c r="C39" s="4">
        <v>46670.333333333336</v>
      </c>
    </row>
    <row r="40" spans="1:3" ht="16.2">
      <c r="A40" s="9" t="s">
        <v>48</v>
      </c>
      <c r="B40" s="4">
        <v>46730.333333333336</v>
      </c>
      <c r="C40" s="4">
        <v>46760.333333333336</v>
      </c>
    </row>
    <row r="41" spans="1:3" ht="16.2">
      <c r="A41" s="10" t="s">
        <v>51</v>
      </c>
      <c r="B41" s="4">
        <v>46670.333333333336</v>
      </c>
      <c r="C41" s="4">
        <v>46714.333333333336</v>
      </c>
    </row>
    <row r="42" spans="1:3" ht="16.2">
      <c r="A42" s="9" t="s">
        <v>55</v>
      </c>
      <c r="B42" s="8">
        <v>46670.333333333336</v>
      </c>
      <c r="C42" s="8">
        <v>46730.333333333336</v>
      </c>
    </row>
    <row r="43" spans="1:3" ht="16.2">
      <c r="A43" s="12" t="s">
        <v>60</v>
      </c>
      <c r="B43" s="4">
        <v>46754.333333333336</v>
      </c>
      <c r="C43" s="4">
        <v>46760.333333333336</v>
      </c>
    </row>
    <row r="44" spans="1:3" ht="16.2">
      <c r="A44" s="9" t="s">
        <v>48</v>
      </c>
      <c r="B44" s="4">
        <v>46760.333333333336</v>
      </c>
      <c r="C44" s="4">
        <v>46775.333333333336</v>
      </c>
    </row>
    <row r="45" spans="1:3" ht="16.2">
      <c r="A45" s="10" t="s">
        <v>59</v>
      </c>
      <c r="B45" s="4">
        <v>46714.333333333336</v>
      </c>
      <c r="C45" s="4">
        <v>46774.333333333336</v>
      </c>
    </row>
    <row r="46" spans="1:3" ht="16.2">
      <c r="A46" s="10" t="s">
        <v>63</v>
      </c>
      <c r="B46" s="4">
        <v>46774.333333333336</v>
      </c>
      <c r="C46" s="4">
        <v>46776.333333333336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6F7C1-738A-4410-8D28-FB50003E680F}">
  <sheetPr>
    <tabColor rgb="FFFFFF00"/>
  </sheetPr>
  <dimension ref="A1:U14"/>
  <sheetViews>
    <sheetView workbookViewId="0">
      <selection activeCell="B17" sqref="B17"/>
    </sheetView>
  </sheetViews>
  <sheetFormatPr defaultRowHeight="15.6"/>
  <cols>
    <col min="1" max="1" width="44.88671875" style="2" customWidth="1"/>
    <col min="2" max="9" width="12.44140625" style="2" bestFit="1" customWidth="1"/>
    <col min="10" max="16384" width="8.88671875" style="2"/>
  </cols>
  <sheetData>
    <row r="1" spans="1:21">
      <c r="A1" s="2" t="s">
        <v>12</v>
      </c>
      <c r="B1" s="2" t="s">
        <v>10</v>
      </c>
      <c r="C1" s="2" t="s">
        <v>11</v>
      </c>
      <c r="I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>
      <c r="A2" s="6" t="s">
        <v>14</v>
      </c>
      <c r="B2" s="4">
        <v>45901</v>
      </c>
      <c r="C2" s="4">
        <f>B2+60</f>
        <v>45961</v>
      </c>
      <c r="D2" s="4"/>
      <c r="E2" s="4"/>
      <c r="F2" s="4"/>
      <c r="G2" s="4"/>
      <c r="H2" s="4"/>
      <c r="I2" s="4"/>
    </row>
    <row r="3" spans="1:21">
      <c r="A3" s="2" t="s">
        <v>1</v>
      </c>
      <c r="B3" s="4">
        <f t="shared" ref="B3:B6" si="0">C2</f>
        <v>45961</v>
      </c>
      <c r="C3" s="4">
        <f>B3+90</f>
        <v>46051</v>
      </c>
    </row>
    <row r="4" spans="1:21">
      <c r="A4" s="2" t="s">
        <v>2</v>
      </c>
      <c r="B4" s="4">
        <f t="shared" si="0"/>
        <v>46051</v>
      </c>
      <c r="C4" s="4">
        <f>B4+123</f>
        <v>46174</v>
      </c>
    </row>
    <row r="5" spans="1:21">
      <c r="A5" s="5" t="s">
        <v>13</v>
      </c>
      <c r="B5" s="4">
        <f t="shared" si="0"/>
        <v>46174</v>
      </c>
      <c r="C5" s="4">
        <f>B5+61</f>
        <v>46235</v>
      </c>
    </row>
    <row r="6" spans="1:21">
      <c r="A6" s="2" t="s">
        <v>3</v>
      </c>
      <c r="B6" s="4">
        <f t="shared" si="0"/>
        <v>46235</v>
      </c>
      <c r="C6" s="4">
        <f>B6+31</f>
        <v>46266</v>
      </c>
    </row>
    <row r="7" spans="1:21">
      <c r="A7" s="1" t="s">
        <v>16</v>
      </c>
      <c r="B7" s="4">
        <f>C6</f>
        <v>46266</v>
      </c>
      <c r="C7" s="4">
        <f>B7+工率!D3</f>
        <v>46658</v>
      </c>
    </row>
    <row r="8" spans="1:21">
      <c r="A8" s="1" t="s">
        <v>20</v>
      </c>
      <c r="B8" s="4">
        <f>C6</f>
        <v>46266</v>
      </c>
      <c r="C8" s="4">
        <f>B8+工率!D4</f>
        <v>46475</v>
      </c>
    </row>
    <row r="9" spans="1:21" ht="16.2">
      <c r="A9" t="s">
        <v>23</v>
      </c>
      <c r="B9" s="4">
        <f>C8</f>
        <v>46475</v>
      </c>
      <c r="C9" s="4">
        <f>B9+工率!D7</f>
        <v>46585</v>
      </c>
    </row>
    <row r="10" spans="1:21" ht="16.2">
      <c r="A10" t="s">
        <v>25</v>
      </c>
      <c r="B10" s="4">
        <f>C9</f>
        <v>46585</v>
      </c>
      <c r="C10" s="4">
        <f>B10+工率!D9</f>
        <v>46645</v>
      </c>
    </row>
    <row r="11" spans="1:21" ht="16.2">
      <c r="A11" t="s">
        <v>33</v>
      </c>
      <c r="B11" s="4">
        <f>C10</f>
        <v>46645</v>
      </c>
      <c r="C11" s="4">
        <f>B11+工率!D10</f>
        <v>46745.8</v>
      </c>
    </row>
    <row r="12" spans="1:21" ht="16.2">
      <c r="A12" t="s">
        <v>37</v>
      </c>
      <c r="B12" s="4">
        <f>C6</f>
        <v>46266</v>
      </c>
      <c r="C12" s="4">
        <f>B12+工率!D11</f>
        <v>46296</v>
      </c>
    </row>
    <row r="13" spans="1:21" ht="16.2">
      <c r="A13" t="s">
        <v>15</v>
      </c>
      <c r="B13" s="4">
        <f>C12</f>
        <v>46296</v>
      </c>
      <c r="C13" s="4">
        <f>B13+工率!D6</f>
        <v>46737</v>
      </c>
    </row>
    <row r="14" spans="1:21">
      <c r="A14" s="2" t="s">
        <v>1</v>
      </c>
      <c r="B14" s="4">
        <f t="shared" ref="B14" si="1">C13</f>
        <v>46737</v>
      </c>
      <c r="C14" s="4">
        <f>B14+90</f>
        <v>46827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12A64-ECAB-443F-8E64-6F5841BD6759}">
  <sheetPr>
    <tabColor rgb="FFFFFF00"/>
  </sheetPr>
  <dimension ref="A1:U13"/>
  <sheetViews>
    <sheetView workbookViewId="0">
      <selection activeCell="C14" sqref="C14"/>
    </sheetView>
  </sheetViews>
  <sheetFormatPr defaultRowHeight="15.6"/>
  <cols>
    <col min="1" max="1" width="44.88671875" style="2" customWidth="1"/>
    <col min="2" max="9" width="12.44140625" style="2" bestFit="1" customWidth="1"/>
    <col min="10" max="16384" width="8.88671875" style="2"/>
  </cols>
  <sheetData>
    <row r="1" spans="1:21">
      <c r="A1" s="2" t="s">
        <v>12</v>
      </c>
      <c r="B1" s="2" t="s">
        <v>10</v>
      </c>
      <c r="C1" s="2" t="s">
        <v>11</v>
      </c>
      <c r="I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>
      <c r="A2" s="2" t="s">
        <v>0</v>
      </c>
      <c r="B2" s="4">
        <v>45748</v>
      </c>
      <c r="C2" s="4">
        <v>45823</v>
      </c>
      <c r="D2" s="4"/>
      <c r="E2" s="4"/>
      <c r="F2" s="4"/>
      <c r="G2" s="4"/>
      <c r="H2" s="4"/>
      <c r="I2" s="4"/>
    </row>
    <row r="3" spans="1:21">
      <c r="A3" s="6" t="s">
        <v>14</v>
      </c>
      <c r="B3" s="4">
        <f t="shared" ref="B3:B7" si="0">C2</f>
        <v>45823</v>
      </c>
      <c r="C3" s="4">
        <f>B3+60</f>
        <v>45883</v>
      </c>
      <c r="D3" s="4"/>
      <c r="E3" s="4"/>
      <c r="F3" s="4"/>
      <c r="G3" s="4"/>
      <c r="H3" s="4"/>
      <c r="I3" s="4"/>
    </row>
    <row r="4" spans="1:21">
      <c r="A4" s="2" t="s">
        <v>1</v>
      </c>
      <c r="B4" s="4">
        <f t="shared" si="0"/>
        <v>45883</v>
      </c>
      <c r="C4" s="4">
        <f>B4+90</f>
        <v>45973</v>
      </c>
    </row>
    <row r="5" spans="1:21">
      <c r="A5" s="2" t="s">
        <v>2</v>
      </c>
      <c r="B5" s="4">
        <f t="shared" si="0"/>
        <v>45973</v>
      </c>
      <c r="C5" s="4">
        <f>B5+123</f>
        <v>46096</v>
      </c>
    </row>
    <row r="6" spans="1:21">
      <c r="A6" s="5" t="s">
        <v>13</v>
      </c>
      <c r="B6" s="4">
        <f t="shared" si="0"/>
        <v>46096</v>
      </c>
      <c r="C6" s="4">
        <f>B6+61</f>
        <v>46157</v>
      </c>
    </row>
    <row r="7" spans="1:21">
      <c r="A7" s="2" t="s">
        <v>3</v>
      </c>
      <c r="B7" s="4">
        <f t="shared" si="0"/>
        <v>46157</v>
      </c>
      <c r="C7" s="4">
        <f>B7+31</f>
        <v>46188</v>
      </c>
    </row>
    <row r="8" spans="1:21">
      <c r="A8" s="1" t="s">
        <v>16</v>
      </c>
      <c r="B8" s="4">
        <f>C7</f>
        <v>46188</v>
      </c>
      <c r="C8" s="4">
        <f>B8+工率!D2</f>
        <v>46971</v>
      </c>
    </row>
    <row r="9" spans="1:21">
      <c r="A9" s="1" t="s">
        <v>32</v>
      </c>
      <c r="B9" s="4">
        <f>C7</f>
        <v>46188</v>
      </c>
      <c r="C9" s="4">
        <f>B9+'工率 B1+替'!D9</f>
        <v>46438</v>
      </c>
    </row>
    <row r="10" spans="1:21" ht="16.2">
      <c r="A10" t="s">
        <v>23</v>
      </c>
      <c r="B10" s="4">
        <f>C9</f>
        <v>46438</v>
      </c>
      <c r="C10" s="4">
        <f>B10+工率!D7</f>
        <v>46548</v>
      </c>
    </row>
    <row r="11" spans="1:21" ht="16.2">
      <c r="A11" t="s">
        <v>34</v>
      </c>
      <c r="B11" s="4">
        <f>C10</f>
        <v>46548</v>
      </c>
      <c r="C11" s="4">
        <f>B11+45</f>
        <v>46593</v>
      </c>
    </row>
    <row r="12" spans="1:21" ht="16.2">
      <c r="A12" t="s">
        <v>25</v>
      </c>
      <c r="B12" s="4">
        <f>C11</f>
        <v>46593</v>
      </c>
      <c r="C12" s="4">
        <f>B12+工率!D9</f>
        <v>46653</v>
      </c>
    </row>
    <row r="13" spans="1:21" ht="16.2">
      <c r="A13" t="s">
        <v>36</v>
      </c>
      <c r="B13" s="4">
        <f>C7</f>
        <v>46188</v>
      </c>
      <c r="C13" s="4">
        <f>B13+'工率 B1+替'!D5</f>
        <v>46602.8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33164-CBD6-4548-9938-1751AE73C3DD}">
  <sheetPr codeName="工作表3">
    <tabColor rgb="FFFFFF00"/>
  </sheetPr>
  <dimension ref="A1:U14"/>
  <sheetViews>
    <sheetView workbookViewId="0">
      <selection activeCell="C8" sqref="C8"/>
    </sheetView>
  </sheetViews>
  <sheetFormatPr defaultRowHeight="15.6"/>
  <cols>
    <col min="1" max="1" width="44.88671875" style="2" customWidth="1"/>
    <col min="2" max="9" width="12.44140625" style="2" bestFit="1" customWidth="1"/>
    <col min="10" max="16384" width="8.88671875" style="2"/>
  </cols>
  <sheetData>
    <row r="1" spans="1:21">
      <c r="A1" s="2" t="s">
        <v>12</v>
      </c>
      <c r="B1" s="2" t="s">
        <v>10</v>
      </c>
      <c r="C1" s="2" t="s">
        <v>11</v>
      </c>
      <c r="I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>
      <c r="A2" s="2" t="s">
        <v>0</v>
      </c>
      <c r="B2" s="4">
        <v>45748</v>
      </c>
      <c r="C2" s="4">
        <v>45823</v>
      </c>
      <c r="D2" s="4"/>
      <c r="E2" s="4"/>
      <c r="F2" s="4"/>
      <c r="G2" s="4"/>
      <c r="H2" s="4"/>
      <c r="I2" s="4"/>
    </row>
    <row r="3" spans="1:21">
      <c r="A3" s="6" t="s">
        <v>14</v>
      </c>
      <c r="B3" s="4">
        <f t="shared" ref="B3:B7" si="0">C2</f>
        <v>45823</v>
      </c>
      <c r="C3" s="4">
        <f>B3+60</f>
        <v>45883</v>
      </c>
      <c r="D3" s="4"/>
      <c r="E3" s="4"/>
      <c r="F3" s="4"/>
      <c r="G3" s="4"/>
      <c r="H3" s="4"/>
      <c r="I3" s="4"/>
    </row>
    <row r="4" spans="1:21">
      <c r="A4" s="2" t="s">
        <v>1</v>
      </c>
      <c r="B4" s="4">
        <f t="shared" si="0"/>
        <v>45883</v>
      </c>
      <c r="C4" s="4">
        <f>B4+90</f>
        <v>45973</v>
      </c>
    </row>
    <row r="5" spans="1:21">
      <c r="A5" s="2" t="s">
        <v>2</v>
      </c>
      <c r="B5" s="4">
        <f t="shared" si="0"/>
        <v>45973</v>
      </c>
      <c r="C5" s="4">
        <f>B5+123</f>
        <v>46096</v>
      </c>
    </row>
    <row r="6" spans="1:21">
      <c r="A6" s="5" t="s">
        <v>13</v>
      </c>
      <c r="B6" s="4">
        <f t="shared" si="0"/>
        <v>46096</v>
      </c>
      <c r="C6" s="4">
        <f>B6+61</f>
        <v>46157</v>
      </c>
    </row>
    <row r="7" spans="1:21">
      <c r="A7" s="2" t="s">
        <v>3</v>
      </c>
      <c r="B7" s="4">
        <f t="shared" si="0"/>
        <v>46157</v>
      </c>
      <c r="C7" s="4">
        <f>B7+31</f>
        <v>46188</v>
      </c>
    </row>
    <row r="8" spans="1:21">
      <c r="A8" s="1" t="s">
        <v>16</v>
      </c>
      <c r="B8" s="4">
        <f>C7</f>
        <v>46188</v>
      </c>
      <c r="C8" s="4">
        <f>B8+工率!D2</f>
        <v>46971</v>
      </c>
    </row>
    <row r="9" spans="1:21">
      <c r="A9" s="1" t="s">
        <v>20</v>
      </c>
      <c r="B9" s="4">
        <f>C7</f>
        <v>46188</v>
      </c>
      <c r="C9" s="4">
        <f>B9+工率!D4</f>
        <v>46397</v>
      </c>
    </row>
    <row r="10" spans="1:21" ht="16.2">
      <c r="A10" t="s">
        <v>23</v>
      </c>
      <c r="B10" s="4">
        <f>C9</f>
        <v>46397</v>
      </c>
      <c r="C10" s="4">
        <f>B10+工率!D7</f>
        <v>46507</v>
      </c>
    </row>
    <row r="11" spans="1:21" ht="16.2">
      <c r="A11" t="s">
        <v>24</v>
      </c>
      <c r="B11" s="4">
        <f>C10</f>
        <v>46507</v>
      </c>
      <c r="C11" s="4">
        <f>B11+工率!D8</f>
        <v>46522</v>
      </c>
    </row>
    <row r="12" spans="1:21" ht="16.2">
      <c r="A12" t="s">
        <v>25</v>
      </c>
      <c r="B12" s="4">
        <f>C11</f>
        <v>46522</v>
      </c>
      <c r="C12" s="4">
        <f>B12+工率!D9</f>
        <v>46582</v>
      </c>
    </row>
    <row r="13" spans="1:21" ht="16.2">
      <c r="A13" t="s">
        <v>21</v>
      </c>
      <c r="B13" s="4">
        <f>C7</f>
        <v>46188</v>
      </c>
      <c r="C13" s="4">
        <f>B13+工率!D5</f>
        <v>46249</v>
      </c>
    </row>
    <row r="14" spans="1:21" ht="16.2">
      <c r="A14" t="s">
        <v>15</v>
      </c>
      <c r="B14" s="4">
        <f>C13</f>
        <v>46249</v>
      </c>
      <c r="C14" s="4">
        <f>B14+工率!D6</f>
        <v>46690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B845-3E8B-439E-AF18-240EF829EDCD}">
  <sheetPr>
    <tabColor rgb="FFFFFF00"/>
  </sheetPr>
  <dimension ref="A1:U14"/>
  <sheetViews>
    <sheetView workbookViewId="0">
      <selection activeCell="A9" sqref="A9"/>
    </sheetView>
  </sheetViews>
  <sheetFormatPr defaultRowHeight="15.6"/>
  <cols>
    <col min="1" max="1" width="44.88671875" style="2" customWidth="1"/>
    <col min="2" max="9" width="12.44140625" style="2" bestFit="1" customWidth="1"/>
    <col min="10" max="16384" width="8.88671875" style="2"/>
  </cols>
  <sheetData>
    <row r="1" spans="1:21">
      <c r="A1" s="2" t="s">
        <v>12</v>
      </c>
      <c r="B1" s="2" t="s">
        <v>10</v>
      </c>
      <c r="C1" s="2" t="s">
        <v>11</v>
      </c>
      <c r="I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>
      <c r="A2" s="2" t="s">
        <v>0</v>
      </c>
      <c r="B2" s="4">
        <v>45748</v>
      </c>
      <c r="C2" s="4">
        <v>45823</v>
      </c>
      <c r="D2" s="4"/>
      <c r="E2" s="4"/>
      <c r="F2" s="4"/>
      <c r="G2" s="4"/>
      <c r="H2" s="4"/>
      <c r="I2" s="4"/>
    </row>
    <row r="3" spans="1:21">
      <c r="A3" s="6" t="s">
        <v>14</v>
      </c>
      <c r="B3" s="4">
        <f t="shared" ref="B3:B8" si="0">C2</f>
        <v>45823</v>
      </c>
      <c r="C3" s="4">
        <f>B3+60</f>
        <v>45883</v>
      </c>
      <c r="D3" s="4"/>
      <c r="E3" s="4"/>
      <c r="F3" s="4"/>
      <c r="G3" s="4"/>
      <c r="H3" s="4"/>
      <c r="I3" s="4"/>
    </row>
    <row r="4" spans="1:21">
      <c r="A4" s="2" t="s">
        <v>1</v>
      </c>
      <c r="B4" s="4">
        <f t="shared" si="0"/>
        <v>45883</v>
      </c>
      <c r="C4" s="4">
        <f>B4+90</f>
        <v>45973</v>
      </c>
    </row>
    <row r="5" spans="1:21">
      <c r="A5" s="2" t="s">
        <v>2</v>
      </c>
      <c r="B5" s="4">
        <f t="shared" si="0"/>
        <v>45973</v>
      </c>
      <c r="C5" s="4">
        <f>B5+123</f>
        <v>46096</v>
      </c>
    </row>
    <row r="6" spans="1:21">
      <c r="A6" s="5" t="s">
        <v>13</v>
      </c>
      <c r="B6" s="4">
        <f t="shared" si="0"/>
        <v>46096</v>
      </c>
      <c r="C6" s="4">
        <f>B6+91</f>
        <v>46187</v>
      </c>
    </row>
    <row r="7" spans="1:21">
      <c r="A7" s="2" t="s">
        <v>3</v>
      </c>
      <c r="B7" s="4">
        <f t="shared" si="0"/>
        <v>46187</v>
      </c>
      <c r="C7" s="4">
        <f>B7+45</f>
        <v>46232</v>
      </c>
    </row>
    <row r="8" spans="1:21">
      <c r="A8" s="1" t="s">
        <v>4</v>
      </c>
      <c r="B8" s="4">
        <f t="shared" si="0"/>
        <v>46232</v>
      </c>
      <c r="C8" s="4">
        <f>B8+212</f>
        <v>46444</v>
      </c>
    </row>
    <row r="9" spans="1:21">
      <c r="A9" s="1" t="s">
        <v>5</v>
      </c>
      <c r="B9" s="4">
        <f>B8+90</f>
        <v>46322</v>
      </c>
      <c r="C9" s="4">
        <f>B9+225+2</f>
        <v>46549</v>
      </c>
    </row>
    <row r="10" spans="1:21">
      <c r="A10" s="1" t="s">
        <v>15</v>
      </c>
      <c r="B10" s="4">
        <f>B8+90</f>
        <v>46322</v>
      </c>
      <c r="C10" s="4">
        <f>B10+151</f>
        <v>46473</v>
      </c>
    </row>
    <row r="11" spans="1:21">
      <c r="A11" s="1" t="s">
        <v>6</v>
      </c>
      <c r="B11" s="4">
        <f>C8+30</f>
        <v>46474</v>
      </c>
      <c r="C11" s="4">
        <f>B11+30</f>
        <v>46504</v>
      </c>
    </row>
    <row r="12" spans="1:21">
      <c r="A12" s="1" t="s">
        <v>7</v>
      </c>
      <c r="B12" s="4">
        <f>C10</f>
        <v>46473</v>
      </c>
      <c r="C12" s="4">
        <f>B12+30</f>
        <v>46503</v>
      </c>
    </row>
    <row r="13" spans="1:21">
      <c r="A13" s="1" t="s">
        <v>8</v>
      </c>
      <c r="B13" s="4">
        <f>B9+150</f>
        <v>46472</v>
      </c>
      <c r="C13" s="4">
        <f>B13+121</f>
        <v>46593</v>
      </c>
    </row>
    <row r="14" spans="1:21">
      <c r="A14" s="1" t="s">
        <v>9</v>
      </c>
      <c r="B14" s="4">
        <f>C13</f>
        <v>46593</v>
      </c>
      <c r="C14" s="4">
        <f>B14+60</f>
        <v>46653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51154-6A94-4418-A0EE-E01254C38686}">
  <dimension ref="A1:F11"/>
  <sheetViews>
    <sheetView workbookViewId="0">
      <selection activeCell="C10" sqref="C10"/>
    </sheetView>
  </sheetViews>
  <sheetFormatPr defaultRowHeight="16.2"/>
  <cols>
    <col min="1" max="1" width="17.77734375" bestFit="1" customWidth="1"/>
    <col min="3" max="3" width="16.21875" bestFit="1" customWidth="1"/>
  </cols>
  <sheetData>
    <row r="1" spans="1:6">
      <c r="A1" t="s">
        <v>17</v>
      </c>
      <c r="B1" t="s">
        <v>18</v>
      </c>
      <c r="C1" t="s">
        <v>19</v>
      </c>
      <c r="D1" t="s">
        <v>22</v>
      </c>
      <c r="E1" t="s">
        <v>28</v>
      </c>
      <c r="F1" t="s">
        <v>41</v>
      </c>
    </row>
    <row r="2" spans="1:6">
      <c r="A2" t="s">
        <v>16</v>
      </c>
      <c r="B2">
        <v>9785</v>
      </c>
      <c r="C2" t="s">
        <v>27</v>
      </c>
      <c r="D2">
        <f>ROUNDUP(B2/1000*80,0)</f>
        <v>783</v>
      </c>
      <c r="E2">
        <f>ROUNDUP(D2/30,0)</f>
        <v>27</v>
      </c>
      <c r="F2" t="s">
        <v>42</v>
      </c>
    </row>
    <row r="3" spans="1:6">
      <c r="A3" t="s">
        <v>16</v>
      </c>
      <c r="B3">
        <v>9785</v>
      </c>
      <c r="C3" t="s">
        <v>40</v>
      </c>
      <c r="D3">
        <f>ROUNDUP(B3/1000*40,0)</f>
        <v>392</v>
      </c>
      <c r="E3">
        <f>ROUNDUP(D3/30,0)</f>
        <v>14</v>
      </c>
      <c r="F3" t="s">
        <v>43</v>
      </c>
    </row>
    <row r="4" spans="1:6">
      <c r="A4" t="s">
        <v>20</v>
      </c>
      <c r="B4">
        <v>1986</v>
      </c>
      <c r="C4" t="s">
        <v>26</v>
      </c>
      <c r="D4">
        <f>ROUNDUP(B4/1000*105,0)</f>
        <v>209</v>
      </c>
      <c r="E4">
        <f t="shared" ref="E4:E10" si="0">ROUNDUP(D4/30,0)</f>
        <v>7</v>
      </c>
    </row>
    <row r="5" spans="1:6">
      <c r="A5" t="s">
        <v>21</v>
      </c>
      <c r="B5">
        <v>122</v>
      </c>
      <c r="C5" t="s">
        <v>29</v>
      </c>
      <c r="D5">
        <f>B5/20*10</f>
        <v>61</v>
      </c>
      <c r="E5">
        <f t="shared" si="0"/>
        <v>3</v>
      </c>
    </row>
    <row r="6" spans="1:6">
      <c r="A6" t="s">
        <v>15</v>
      </c>
      <c r="B6">
        <f>122+25</f>
        <v>147</v>
      </c>
      <c r="C6" t="s">
        <v>30</v>
      </c>
      <c r="D6">
        <f>B6/5*15</f>
        <v>441</v>
      </c>
      <c r="E6">
        <f t="shared" si="0"/>
        <v>15</v>
      </c>
    </row>
    <row r="7" spans="1:6">
      <c r="A7" t="s">
        <v>23</v>
      </c>
      <c r="B7">
        <v>220</v>
      </c>
      <c r="C7" t="s">
        <v>31</v>
      </c>
      <c r="D7">
        <f>B7/1*0.5</f>
        <v>110</v>
      </c>
      <c r="E7">
        <f t="shared" si="0"/>
        <v>4</v>
      </c>
    </row>
    <row r="8" spans="1:6">
      <c r="A8" t="s">
        <v>24</v>
      </c>
      <c r="B8">
        <v>1</v>
      </c>
      <c r="C8">
        <v>15</v>
      </c>
      <c r="D8">
        <f>B8*C8</f>
        <v>15</v>
      </c>
      <c r="E8">
        <f t="shared" si="0"/>
        <v>1</v>
      </c>
    </row>
    <row r="9" spans="1:6">
      <c r="A9" t="s">
        <v>25</v>
      </c>
      <c r="B9">
        <v>4</v>
      </c>
      <c r="C9">
        <v>15</v>
      </c>
      <c r="D9">
        <f>B9*15</f>
        <v>60</v>
      </c>
      <c r="E9">
        <f t="shared" si="0"/>
        <v>2</v>
      </c>
    </row>
    <row r="10" spans="1:6">
      <c r="A10" t="s">
        <v>33</v>
      </c>
      <c r="B10">
        <v>1260</v>
      </c>
      <c r="C10">
        <v>12.5</v>
      </c>
      <c r="D10">
        <f>B10/C10</f>
        <v>100.8</v>
      </c>
      <c r="E10">
        <f t="shared" si="0"/>
        <v>4</v>
      </c>
    </row>
    <row r="11" spans="1:6">
      <c r="A11" t="s">
        <v>37</v>
      </c>
      <c r="B11" t="s">
        <v>38</v>
      </c>
      <c r="C11" t="s">
        <v>39</v>
      </c>
      <c r="D11">
        <v>30</v>
      </c>
      <c r="E11">
        <f t="shared" ref="E11" si="1">ROUNDUP(D11/30,0)</f>
        <v>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3B635-E84F-4BC9-958E-6ACA06DD6690}">
  <dimension ref="A1:E9"/>
  <sheetViews>
    <sheetView workbookViewId="0">
      <selection activeCell="A6" sqref="A6"/>
    </sheetView>
  </sheetViews>
  <sheetFormatPr defaultRowHeight="16.2"/>
  <cols>
    <col min="1" max="1" width="17.77734375" bestFit="1" customWidth="1"/>
    <col min="3" max="3" width="16.21875" bestFit="1" customWidth="1"/>
  </cols>
  <sheetData>
    <row r="1" spans="1:5">
      <c r="A1" t="s">
        <v>17</v>
      </c>
      <c r="B1" t="s">
        <v>18</v>
      </c>
      <c r="C1" t="s">
        <v>19</v>
      </c>
      <c r="D1" t="s">
        <v>22</v>
      </c>
      <c r="E1" t="s">
        <v>28</v>
      </c>
    </row>
    <row r="2" spans="1:5">
      <c r="A2" t="s">
        <v>16</v>
      </c>
      <c r="B2">
        <f>540+105+1660+3916+3506</f>
        <v>9727</v>
      </c>
      <c r="C2" t="s">
        <v>27</v>
      </c>
      <c r="D2">
        <f>ROUNDUP(B2/1000*80,0)</f>
        <v>779</v>
      </c>
      <c r="E2">
        <f>ROUNDUP(D2/30,0)</f>
        <v>26</v>
      </c>
    </row>
    <row r="3" spans="1:5">
      <c r="A3" t="s">
        <v>20</v>
      </c>
      <c r="B3">
        <v>2685</v>
      </c>
      <c r="C3" t="s">
        <v>26</v>
      </c>
      <c r="D3">
        <f>ROUNDUP(B3/1000*105,0)</f>
        <v>282</v>
      </c>
      <c r="E3">
        <f t="shared" ref="E3:E9" si="0">ROUNDUP(D3/30,0)</f>
        <v>10</v>
      </c>
    </row>
    <row r="4" spans="1:5">
      <c r="A4" t="s">
        <v>21</v>
      </c>
      <c r="B4">
        <v>122</v>
      </c>
      <c r="C4" t="s">
        <v>29</v>
      </c>
      <c r="D4">
        <f>B4/20*10</f>
        <v>61</v>
      </c>
      <c r="E4">
        <f t="shared" si="0"/>
        <v>3</v>
      </c>
    </row>
    <row r="5" spans="1:5">
      <c r="A5" t="s">
        <v>36</v>
      </c>
      <c r="B5">
        <v>122</v>
      </c>
      <c r="C5" t="s">
        <v>35</v>
      </c>
      <c r="D5">
        <f>B5/5*17</f>
        <v>414.79999999999995</v>
      </c>
      <c r="E5">
        <f t="shared" si="0"/>
        <v>14</v>
      </c>
    </row>
    <row r="6" spans="1:5">
      <c r="A6" t="s">
        <v>23</v>
      </c>
      <c r="B6">
        <v>220</v>
      </c>
      <c r="C6" t="s">
        <v>31</v>
      </c>
      <c r="D6">
        <f>B6/1*0.5</f>
        <v>110</v>
      </c>
      <c r="E6">
        <f t="shared" si="0"/>
        <v>4</v>
      </c>
    </row>
    <row r="7" spans="1:5">
      <c r="A7" t="s">
        <v>24</v>
      </c>
      <c r="B7">
        <v>1</v>
      </c>
      <c r="C7">
        <v>15</v>
      </c>
      <c r="D7">
        <f>B7*C7</f>
        <v>15</v>
      </c>
      <c r="E7">
        <f t="shared" si="0"/>
        <v>1</v>
      </c>
    </row>
    <row r="8" spans="1:5">
      <c r="A8" t="s">
        <v>25</v>
      </c>
      <c r="B8">
        <v>4</v>
      </c>
      <c r="C8">
        <v>15</v>
      </c>
      <c r="D8">
        <f>B8*15</f>
        <v>60</v>
      </c>
      <c r="E8">
        <f t="shared" si="0"/>
        <v>2</v>
      </c>
    </row>
    <row r="9" spans="1:5">
      <c r="A9" t="s">
        <v>33</v>
      </c>
      <c r="B9">
        <v>3125</v>
      </c>
      <c r="C9">
        <v>12.5</v>
      </c>
      <c r="D9">
        <f>B9/C9</f>
        <v>250</v>
      </c>
      <c r="E9">
        <f t="shared" si="0"/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布洛灣</vt:lpstr>
      <vt:lpstr>長春祠Final</vt:lpstr>
      <vt:lpstr>長春祠B1加替代</vt:lpstr>
      <vt:lpstr>長春祠B1</vt:lpstr>
      <vt:lpstr>長春祠250319</vt:lpstr>
      <vt:lpstr>工率</vt:lpstr>
      <vt:lpstr>工率 B1+替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GT 地工部 張桂瑛</dc:creator>
  <cp:lastModifiedBy>GT 地工部 林信宏</cp:lastModifiedBy>
  <dcterms:created xsi:type="dcterms:W3CDTF">2025-02-05T08:15:41Z</dcterms:created>
  <dcterms:modified xsi:type="dcterms:W3CDTF">2025-11-25T11:53:13Z</dcterms:modified>
</cp:coreProperties>
</file>