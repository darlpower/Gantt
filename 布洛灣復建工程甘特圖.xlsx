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63882\PycharmProjects\Gantt\"/>
    </mc:Choice>
  </mc:AlternateContent>
  <xr:revisionPtr revIDLastSave="0" documentId="13_ncr:1_{06D70E90-6CED-4AD2-84F3-85AD5EA5CA60}" xr6:coauthVersionLast="47" xr6:coauthVersionMax="47" xr10:uidLastSave="{00000000-0000-0000-0000-000000000000}"/>
  <bookViews>
    <workbookView xWindow="-51696" yWindow="-5280" windowWidth="25992" windowHeight="20976" activeTab="1" xr2:uid="{FAECEA9D-5571-49E1-9713-18D6F11A43C1}"/>
  </bookViews>
  <sheets>
    <sheet name="布洛灣" sheetId="9" r:id="rId1"/>
    <sheet name="計算檔" sheetId="10" r:id="rId2"/>
    <sheet name="工期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0" l="1"/>
  <c r="B3" i="10" s="1"/>
  <c r="C3" i="10" s="1"/>
  <c r="B4" i="10" s="1"/>
  <c r="C4" i="10" s="1"/>
  <c r="B5" i="10" s="1"/>
  <c r="C5" i="10" s="1"/>
  <c r="B6" i="10" s="1"/>
  <c r="C6" i="10" s="1"/>
  <c r="B7" i="10" l="1"/>
  <c r="C7" i="10" s="1"/>
  <c r="B9" i="10" s="1"/>
  <c r="C9" i="10" s="1"/>
  <c r="B22" i="10"/>
  <c r="C22" i="10" s="1"/>
  <c r="B20" i="10" s="1"/>
  <c r="C20" i="10" s="1"/>
  <c r="B21" i="10" s="1"/>
  <c r="C21" i="10" s="1"/>
  <c r="B16" i="10" s="1"/>
  <c r="C16" i="10" s="1"/>
  <c r="B12" i="10"/>
  <c r="C12" i="10" s="1"/>
  <c r="B13" i="10" s="1"/>
  <c r="C13" i="10" s="1"/>
  <c r="B18" i="10" s="1"/>
  <c r="C18" i="10" s="1"/>
  <c r="B14" i="10" s="1"/>
  <c r="C14" i="10" s="1"/>
  <c r="B23" i="10" s="1"/>
  <c r="C23" i="10" s="1"/>
  <c r="U22" i="6"/>
  <c r="X22" i="6" s="1"/>
  <c r="M21" i="6"/>
  <c r="E21" i="6"/>
  <c r="I20" i="6"/>
  <c r="E20" i="6"/>
  <c r="M19" i="6"/>
  <c r="I19" i="6"/>
  <c r="E19" i="6"/>
  <c r="X19" i="6" s="1"/>
  <c r="Q18" i="6"/>
  <c r="I18" i="6"/>
  <c r="E18" i="6"/>
  <c r="X18" i="6" s="1"/>
  <c r="U17" i="6"/>
  <c r="X17" i="6" s="1"/>
  <c r="E16" i="6"/>
  <c r="X16" i="6" s="1"/>
  <c r="M15" i="6"/>
  <c r="I15" i="6"/>
  <c r="X15" i="6" s="1"/>
  <c r="M14" i="6"/>
  <c r="I14" i="6"/>
  <c r="E14" i="6"/>
  <c r="X14" i="6" s="1"/>
  <c r="E13" i="6"/>
  <c r="X13" i="6" s="1"/>
  <c r="X12" i="6"/>
  <c r="E12" i="6"/>
  <c r="Q11" i="6"/>
  <c r="X11" i="6" s="1"/>
  <c r="E10" i="6"/>
  <c r="X10" i="6" s="1"/>
  <c r="M9" i="6"/>
  <c r="X9" i="6" s="1"/>
  <c r="Q8" i="6"/>
  <c r="E8" i="6"/>
  <c r="X8" i="6" s="1"/>
  <c r="M7" i="6"/>
  <c r="I7" i="6"/>
  <c r="X7" i="6" s="1"/>
  <c r="E6" i="6"/>
  <c r="X6" i="6" s="1"/>
  <c r="U5" i="6"/>
  <c r="Q5" i="6"/>
  <c r="M5" i="6"/>
  <c r="I5" i="6"/>
  <c r="E5" i="6"/>
  <c r="X5" i="6" s="1"/>
  <c r="E4" i="6"/>
  <c r="X4" i="6" s="1"/>
  <c r="Q3" i="6"/>
  <c r="E3" i="6"/>
  <c r="X3" i="6" s="1"/>
  <c r="X21" i="6" l="1"/>
  <c r="X20" i="6"/>
  <c r="B11" i="10"/>
  <c r="C11" i="10" s="1"/>
  <c r="O4" i="10" s="1"/>
  <c r="D10" i="10" s="1"/>
  <c r="E10" i="10" s="1"/>
  <c r="Q4" i="10" s="1"/>
  <c r="F11" i="10" s="1"/>
  <c r="G11" i="10" s="1"/>
  <c r="F10" i="10" s="1"/>
  <c r="G10" i="10" s="1"/>
  <c r="O5" i="10"/>
  <c r="D17" i="10" s="1"/>
  <c r="E17" i="10" s="1"/>
  <c r="D16" i="10" s="1"/>
  <c r="E16" i="10" s="1"/>
  <c r="C8" i="10"/>
  <c r="O3" i="10" s="1"/>
  <c r="D8" i="10" s="1"/>
  <c r="E8" i="10" s="1"/>
  <c r="Q3" i="10" s="1"/>
  <c r="F8" i="10" s="1"/>
  <c r="G8" i="10" s="1"/>
  <c r="S3" i="10" s="1"/>
  <c r="H6" i="10" s="1"/>
  <c r="I6" i="10" s="1"/>
  <c r="B8" i="10"/>
  <c r="H15" i="10" l="1"/>
  <c r="I15" i="10" s="1"/>
  <c r="H8" i="10" s="1"/>
  <c r="I8" i="10" s="1"/>
  <c r="U3" i="10" s="1"/>
  <c r="J8" i="10" s="1"/>
  <c r="K8" i="10" s="1"/>
  <c r="W3" i="10" s="1"/>
  <c r="H11" i="10"/>
  <c r="I11" i="10" s="1"/>
  <c r="U4" i="10" s="1"/>
  <c r="J19" i="10" s="1"/>
  <c r="K19" i="10" s="1"/>
  <c r="D22" i="10"/>
  <c r="E22" i="10" s="1"/>
  <c r="D21" i="10" s="1"/>
  <c r="E21" i="10" s="1"/>
  <c r="D20" i="10" s="1"/>
  <c r="E20" i="10" s="1"/>
  <c r="Q5" i="10"/>
  <c r="F17" i="10" s="1"/>
  <c r="G17" i="10" s="1"/>
  <c r="F16" i="10" s="1"/>
  <c r="G16" i="10" s="1"/>
  <c r="F23" i="10"/>
  <c r="G23" i="10" s="1"/>
  <c r="S4" i="10" s="1"/>
  <c r="F21" i="10" l="1"/>
  <c r="G21" i="10" s="1"/>
  <c r="S5" i="10" s="1"/>
  <c r="H20" i="10" s="1"/>
  <c r="I20" i="10" s="1"/>
  <c r="U5" i="10" s="1"/>
  <c r="J23" i="10"/>
  <c r="K23" i="10" s="1"/>
  <c r="W4" i="10"/>
</calcChain>
</file>

<file path=xl/sharedStrings.xml><?xml version="1.0" encoding="utf-8"?>
<sst xmlns="http://schemas.openxmlformats.org/spreadsheetml/2006/main" count="123" uniqueCount="84">
  <si>
    <t>施工計畫書及動員</t>
  </si>
  <si>
    <t>Start</t>
    <phoneticPr fontId="1" type="noConversion"/>
  </si>
  <si>
    <t>Finish</t>
    <phoneticPr fontId="1" type="noConversion"/>
  </si>
  <si>
    <t>Task</t>
    <phoneticPr fontId="1" type="noConversion"/>
  </si>
  <si>
    <t>工程發包</t>
    <phoneticPr fontId="1" type="noConversion"/>
  </si>
  <si>
    <t>基本設計審議</t>
    <phoneticPr fontId="1" type="noConversion"/>
  </si>
  <si>
    <t>數量</t>
    <phoneticPr fontId="1" type="noConversion"/>
  </si>
  <si>
    <t>刷坡</t>
    <phoneticPr fontId="1" type="noConversion"/>
  </si>
  <si>
    <t>消能式落石防護網</t>
    <phoneticPr fontId="1" type="noConversion"/>
  </si>
  <si>
    <t>覆蓋式落石防護網 (處)</t>
    <phoneticPr fontId="1" type="noConversion"/>
  </si>
  <si>
    <t>開口隔幕型落防護網 (處)</t>
    <phoneticPr fontId="1" type="noConversion"/>
  </si>
  <si>
    <t>防落石柵 (M)</t>
    <phoneticPr fontId="1" type="noConversion"/>
  </si>
  <si>
    <t>石籠擋土牆</t>
    <phoneticPr fontId="1" type="noConversion"/>
  </si>
  <si>
    <t>自由型框+岩栓</t>
    <phoneticPr fontId="1" type="noConversion"/>
  </si>
  <si>
    <t>漿砌卵石擋土牆 (M)</t>
    <phoneticPr fontId="1" type="noConversion"/>
  </si>
  <si>
    <t>草種噴植 (M2)</t>
    <phoneticPr fontId="1" type="noConversion"/>
  </si>
  <si>
    <t>梳子壩 (M)</t>
    <phoneticPr fontId="1" type="noConversion"/>
  </si>
  <si>
    <t>石籠攔砂擋牆 (M3)</t>
    <phoneticPr fontId="1" type="noConversion"/>
  </si>
  <si>
    <t>石籠護岸 (M3)</t>
    <phoneticPr fontId="1" type="noConversion"/>
  </si>
  <si>
    <t>拍漿溝 (M)</t>
    <phoneticPr fontId="1" type="noConversion"/>
  </si>
  <si>
    <r>
      <t>RCP涵管</t>
    </r>
    <r>
      <rPr>
        <sz val="12"/>
        <color theme="1"/>
        <rFont val="Calibri"/>
        <family val="2"/>
        <charset val="204"/>
      </rPr>
      <t>Ф</t>
    </r>
    <r>
      <rPr>
        <sz val="12"/>
        <color theme="1"/>
        <rFont val="新細明體"/>
        <family val="2"/>
        <charset val="136"/>
        <scheme val="minor"/>
      </rPr>
      <t>=1.5m (M)</t>
    </r>
    <phoneticPr fontId="1" type="noConversion"/>
  </si>
  <si>
    <t>集水井 (座)</t>
    <phoneticPr fontId="1" type="noConversion"/>
  </si>
  <si>
    <t>路面修復 (不含RCP通過)(M2)</t>
    <phoneticPr fontId="1" type="noConversion"/>
  </si>
  <si>
    <t>護欄修復 (M)</t>
    <phoneticPr fontId="1" type="noConversion"/>
  </si>
  <si>
    <t xml:space="preserve">覆蓋式落石防護網 </t>
    <phoneticPr fontId="1" type="noConversion"/>
  </si>
  <si>
    <t>開口隔幕型落防護網</t>
    <phoneticPr fontId="1" type="noConversion"/>
  </si>
  <si>
    <t>防落石柵</t>
    <phoneticPr fontId="1" type="noConversion"/>
  </si>
  <si>
    <t>漿砌卵石擋土牆</t>
  </si>
  <si>
    <t>草種噴植</t>
    <phoneticPr fontId="1" type="noConversion"/>
  </si>
  <si>
    <t xml:space="preserve">梳子壩 </t>
    <phoneticPr fontId="1" type="noConversion"/>
  </si>
  <si>
    <t>石籠攔砂擋牆</t>
    <phoneticPr fontId="1" type="noConversion"/>
  </si>
  <si>
    <t>石籠護岸</t>
    <phoneticPr fontId="1" type="noConversion"/>
  </si>
  <si>
    <t>拍漿溝</t>
    <phoneticPr fontId="1" type="noConversion"/>
  </si>
  <si>
    <r>
      <t>RCP涵管</t>
    </r>
    <r>
      <rPr>
        <sz val="12"/>
        <color theme="1"/>
        <rFont val="Calibri"/>
        <family val="2"/>
        <charset val="204"/>
      </rPr>
      <t>Ф</t>
    </r>
    <r>
      <rPr>
        <sz val="12"/>
        <color theme="1"/>
        <rFont val="新細明體"/>
        <family val="2"/>
        <charset val="136"/>
        <scheme val="minor"/>
      </rPr>
      <t>=1.5m</t>
    </r>
    <phoneticPr fontId="1" type="noConversion"/>
  </si>
  <si>
    <t>集水井</t>
    <phoneticPr fontId="1" type="noConversion"/>
  </si>
  <si>
    <t>路面修復</t>
    <phoneticPr fontId="1" type="noConversion"/>
  </si>
  <si>
    <t>護欄修復</t>
    <phoneticPr fontId="1" type="noConversion"/>
  </si>
  <si>
    <t>功率</t>
    <phoneticPr fontId="1" type="noConversion"/>
  </si>
  <si>
    <t>I區</t>
    <phoneticPr fontId="1" type="noConversion"/>
  </si>
  <si>
    <t>II區</t>
    <phoneticPr fontId="1" type="noConversion"/>
  </si>
  <si>
    <t>III區</t>
    <phoneticPr fontId="1" type="noConversion"/>
  </si>
  <si>
    <t>IV區</t>
    <phoneticPr fontId="1" type="noConversion"/>
  </si>
  <si>
    <t>V區</t>
    <phoneticPr fontId="1" type="noConversion"/>
  </si>
  <si>
    <t>工項</t>
    <phoneticPr fontId="1" type="noConversion"/>
  </si>
  <si>
    <t>天數</t>
    <phoneticPr fontId="1" type="noConversion"/>
  </si>
  <si>
    <t>起始日期</t>
    <phoneticPr fontId="1" type="noConversion"/>
  </si>
  <si>
    <t>結束日期</t>
    <phoneticPr fontId="1" type="noConversion"/>
  </si>
  <si>
    <t>刷坡 (M2)</t>
    <phoneticPr fontId="1" type="noConversion"/>
  </si>
  <si>
    <t>消能式落石防護柵 (M)</t>
    <phoneticPr fontId="1" type="noConversion"/>
  </si>
  <si>
    <t>型鋼攔石柵</t>
    <phoneticPr fontId="1" type="noConversion"/>
  </si>
  <si>
    <t>細部設計作業</t>
    <phoneticPr fontId="1" type="noConversion"/>
  </si>
  <si>
    <t>半重力式擋土牆+防落石柵</t>
    <phoneticPr fontId="1" type="noConversion"/>
  </si>
  <si>
    <t>各區各工班結束時間</t>
    <phoneticPr fontId="1" type="noConversion"/>
  </si>
  <si>
    <t>RC擋牆 (M)</t>
  </si>
  <si>
    <r>
      <t>I</t>
    </r>
    <r>
      <rPr>
        <sz val="12"/>
        <color theme="1"/>
        <rFont val="微軟正黑體"/>
        <family val="2"/>
        <charset val="136"/>
      </rPr>
      <t>區</t>
    </r>
    <phoneticPr fontId="1" type="noConversion"/>
  </si>
  <si>
    <r>
      <t>II</t>
    </r>
    <r>
      <rPr>
        <sz val="12"/>
        <color theme="1"/>
        <rFont val="微軟正黑體"/>
        <family val="2"/>
        <charset val="136"/>
      </rPr>
      <t>區</t>
    </r>
    <phoneticPr fontId="1" type="noConversion"/>
  </si>
  <si>
    <r>
      <t>III</t>
    </r>
    <r>
      <rPr>
        <sz val="12"/>
        <color theme="1"/>
        <rFont val="微軟正黑體"/>
        <family val="2"/>
        <charset val="136"/>
      </rPr>
      <t>區</t>
    </r>
    <phoneticPr fontId="1" type="noConversion"/>
  </si>
  <si>
    <r>
      <t>IV</t>
    </r>
    <r>
      <rPr>
        <sz val="12"/>
        <color theme="1"/>
        <rFont val="微軟正黑體"/>
        <family val="2"/>
        <charset val="136"/>
      </rPr>
      <t>區</t>
    </r>
    <phoneticPr fontId="1" type="noConversion"/>
  </si>
  <si>
    <r>
      <t>V</t>
    </r>
    <r>
      <rPr>
        <sz val="12"/>
        <color theme="1"/>
        <rFont val="微軟正黑體"/>
        <family val="2"/>
        <charset val="136"/>
      </rPr>
      <t>區</t>
    </r>
    <phoneticPr fontId="1" type="noConversion"/>
  </si>
  <si>
    <t>Task</t>
  </si>
  <si>
    <t>Start</t>
  </si>
  <si>
    <t>Finish</t>
  </si>
  <si>
    <t>基本設計審議</t>
  </si>
  <si>
    <t>細部設計作業</t>
  </si>
  <si>
    <t>工程發包</t>
  </si>
  <si>
    <t>刷坡</t>
  </si>
  <si>
    <t>消能式落石防護網</t>
  </si>
  <si>
    <t xml:space="preserve">覆蓋式落石防護網 </t>
  </si>
  <si>
    <t>開口隔幕型落防護網</t>
  </si>
  <si>
    <t>防落石柵</t>
  </si>
  <si>
    <t>半重力式擋土牆+防落石柵</t>
  </si>
  <si>
    <t>石籠擋土牆</t>
  </si>
  <si>
    <t>草種噴植</t>
  </si>
  <si>
    <t>自由型框+岩栓</t>
  </si>
  <si>
    <t xml:space="preserve">梳子壩 </t>
  </si>
  <si>
    <t>型鋼攔石柵</t>
  </si>
  <si>
    <t>石籠攔砂擋牆</t>
  </si>
  <si>
    <t>石籠護岸</t>
  </si>
  <si>
    <t>拍漿溝</t>
  </si>
  <si>
    <t>RCP涵管Ф=1.5m</t>
  </si>
  <si>
    <t>集水井</t>
  </si>
  <si>
    <t>路面修復</t>
  </si>
  <si>
    <t>護欄修復</t>
  </si>
  <si>
    <t>漿砌卵石擋土牆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</si>
</sst>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Calibri"/>
      <family val="2"/>
      <charset val="136"/>
    </font>
    <font>
      <sz val="12"/>
      <color theme="1"/>
      <name val="Microsoft JhengHei"/>
      <family val="2"/>
    </font>
    <font>
      <sz val="12"/>
      <color theme="1"/>
      <name val="Calibri"/>
      <family val="2"/>
      <charset val="204"/>
    </font>
    <font>
      <sz val="12"/>
      <color rgb="FFFF0000"/>
      <name val="Calibri"/>
      <family val="2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4" fontId="3" fillId="0" borderId="0" xfId="0" applyNumberFormat="1" applyFont="1">
      <alignment vertical="center"/>
    </xf>
    <xf numFmtId="0" fontId="5" fillId="0" borderId="0" xfId="0" applyFont="1">
      <alignment vertical="center"/>
    </xf>
    <xf numFmtId="14" fontId="5" fillId="0" borderId="0" xfId="0" applyNumberFormat="1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176" fontId="0" fillId="0" borderId="0" xfId="0" applyNumberForma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14" fontId="7" fillId="0" borderId="0" xfId="0" applyNumberFormat="1" applyFont="1">
      <alignment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14" fontId="8" fillId="0" borderId="0" xfId="0" applyNumberFormat="1" applyFont="1">
      <alignment vertical="center"/>
    </xf>
    <xf numFmtId="0" fontId="0" fillId="5" borderId="4" xfId="0" applyFill="1" applyBorder="1">
      <alignment vertical="center"/>
    </xf>
    <xf numFmtId="176" fontId="0" fillId="5" borderId="0" xfId="0" applyNumberFormat="1" applyFill="1">
      <alignment vertical="center"/>
    </xf>
    <xf numFmtId="0" fontId="0" fillId="5" borderId="0" xfId="0" applyFill="1">
      <alignment vertical="center"/>
    </xf>
    <xf numFmtId="0" fontId="0" fillId="5" borderId="6" xfId="0" applyFill="1" applyBorder="1">
      <alignment vertical="center"/>
    </xf>
    <xf numFmtId="0" fontId="0" fillId="5" borderId="7" xfId="0" applyFill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F7C1-738A-4410-8D28-FB50003E680F}">
  <sheetPr>
    <tabColor rgb="FFFFFF00"/>
  </sheetPr>
  <dimension ref="A1:W36"/>
  <sheetViews>
    <sheetView workbookViewId="0">
      <selection activeCell="A32" sqref="A32:W32"/>
    </sheetView>
  </sheetViews>
  <sheetFormatPr defaultRowHeight="15.6"/>
  <cols>
    <col min="1" max="1" width="44.88671875" style="1" customWidth="1"/>
    <col min="2" max="10" width="12.44140625" style="1" bestFit="1" customWidth="1"/>
    <col min="11" max="11" width="11.21875" style="1" bestFit="1" customWidth="1"/>
    <col min="12" max="14" width="8.88671875" style="1"/>
    <col min="15" max="15" width="11.21875" style="1" bestFit="1" customWidth="1"/>
    <col min="16" max="16" width="8.88671875" style="1"/>
    <col min="17" max="17" width="12.44140625" style="1" bestFit="1" customWidth="1"/>
    <col min="18" max="18" width="8.88671875" style="1"/>
    <col min="19" max="19" width="11.21875" style="1" bestFit="1" customWidth="1"/>
    <col min="20" max="20" width="8.88671875" style="1"/>
    <col min="21" max="21" width="12.44140625" style="1" bestFit="1" customWidth="1"/>
    <col min="22" max="22" width="8.88671875" style="1"/>
    <col min="23" max="23" width="11.21875" style="1" bestFit="1" customWidth="1"/>
    <col min="24" max="16384" width="8.88671875" style="1"/>
  </cols>
  <sheetData>
    <row r="1" spans="1:23">
      <c r="A1" s="1" t="s">
        <v>59</v>
      </c>
      <c r="B1" s="1" t="s">
        <v>60</v>
      </c>
      <c r="C1" s="1" t="s">
        <v>61</v>
      </c>
      <c r="D1" s="1" t="s">
        <v>60</v>
      </c>
      <c r="E1" s="1" t="s">
        <v>61</v>
      </c>
      <c r="F1" s="1" t="s">
        <v>60</v>
      </c>
      <c r="G1" s="1" t="s">
        <v>61</v>
      </c>
      <c r="H1" s="1" t="s">
        <v>60</v>
      </c>
      <c r="I1" s="1" t="s">
        <v>61</v>
      </c>
      <c r="J1" s="1" t="s">
        <v>60</v>
      </c>
      <c r="K1" s="1" t="s">
        <v>61</v>
      </c>
      <c r="L1" s="2"/>
      <c r="M1" s="2"/>
      <c r="N1" s="27"/>
      <c r="O1" s="2"/>
      <c r="P1" s="2"/>
      <c r="Q1" s="2"/>
      <c r="R1" s="2"/>
      <c r="S1" s="2"/>
      <c r="T1" s="2"/>
      <c r="U1" s="2"/>
    </row>
    <row r="2" spans="1:23">
      <c r="A2" s="5" t="s">
        <v>62</v>
      </c>
      <c r="B2" s="3">
        <v>45992</v>
      </c>
      <c r="C2" s="3">
        <v>46052</v>
      </c>
      <c r="D2" s="3"/>
      <c r="E2" s="3"/>
      <c r="F2" s="3"/>
      <c r="G2" s="3"/>
      <c r="H2" s="3"/>
      <c r="I2" s="3"/>
    </row>
    <row r="3" spans="1:23">
      <c r="A3" s="5" t="s">
        <v>63</v>
      </c>
      <c r="B3" s="3">
        <v>46022</v>
      </c>
      <c r="C3" s="3">
        <v>46112</v>
      </c>
      <c r="D3" s="3"/>
      <c r="E3" s="3"/>
      <c r="F3" s="3"/>
      <c r="G3" s="3"/>
      <c r="H3" s="3"/>
      <c r="I3" s="3"/>
      <c r="O3" s="3"/>
      <c r="Q3" s="3"/>
      <c r="S3" s="3"/>
      <c r="U3" s="3"/>
      <c r="W3" s="3"/>
    </row>
    <row r="4" spans="1:23">
      <c r="A4" s="4" t="s">
        <v>64</v>
      </c>
      <c r="B4" s="3">
        <v>46112</v>
      </c>
      <c r="C4" s="3">
        <v>46172</v>
      </c>
      <c r="O4" s="3"/>
      <c r="Q4" s="3"/>
      <c r="S4" s="3"/>
      <c r="U4" s="3"/>
      <c r="W4" s="3"/>
    </row>
    <row r="5" spans="1:23">
      <c r="A5" s="1" t="s">
        <v>0</v>
      </c>
      <c r="B5" s="3">
        <v>46172</v>
      </c>
      <c r="C5" s="3">
        <v>46202</v>
      </c>
      <c r="O5" s="3"/>
      <c r="Q5" s="3"/>
      <c r="S5" s="3"/>
      <c r="U5" s="3"/>
      <c r="W5" s="3"/>
    </row>
    <row r="6" spans="1:23">
      <c r="A6" s="15" t="s">
        <v>65</v>
      </c>
      <c r="B6" s="3">
        <v>46202</v>
      </c>
      <c r="C6" s="3">
        <v>46285</v>
      </c>
      <c r="H6" s="3">
        <v>46662.333333333336</v>
      </c>
      <c r="I6" s="3">
        <v>46670.333333333336</v>
      </c>
    </row>
    <row r="7" spans="1:23">
      <c r="A7" s="15" t="s">
        <v>66</v>
      </c>
      <c r="B7" s="17">
        <v>46257.333333333336</v>
      </c>
      <c r="C7" s="17">
        <v>46497.333333333336</v>
      </c>
    </row>
    <row r="8" spans="1:23" ht="16.2">
      <c r="A8" s="6" t="s">
        <v>67</v>
      </c>
      <c r="B8" s="17">
        <v>46512.333333333336</v>
      </c>
      <c r="C8" s="17">
        <v>46587.333333333336</v>
      </c>
      <c r="D8" s="3">
        <v>46587.333333333336</v>
      </c>
      <c r="E8" s="3">
        <v>46647.333333333336</v>
      </c>
      <c r="F8" s="3">
        <v>46647.333333333336</v>
      </c>
      <c r="G8" s="3">
        <v>46662.333333333336</v>
      </c>
      <c r="H8" s="3">
        <v>46730.333333333336</v>
      </c>
      <c r="I8" s="3">
        <v>46760.333333333336</v>
      </c>
      <c r="J8" s="3">
        <v>46760.333333333336</v>
      </c>
      <c r="K8" s="3">
        <v>46775.333333333336</v>
      </c>
    </row>
    <row r="9" spans="1:23" ht="16.2">
      <c r="A9" s="6" t="s">
        <v>68</v>
      </c>
      <c r="B9" s="3">
        <v>46497.333333333336</v>
      </c>
      <c r="C9" s="3">
        <v>46512.333333333336</v>
      </c>
    </row>
    <row r="10" spans="1:23" ht="16.2">
      <c r="A10" s="7" t="s">
        <v>69</v>
      </c>
      <c r="D10" s="3">
        <v>46580</v>
      </c>
      <c r="E10" s="3">
        <v>46593</v>
      </c>
      <c r="F10" s="3">
        <v>46627</v>
      </c>
      <c r="G10" s="3">
        <v>46637</v>
      </c>
    </row>
    <row r="11" spans="1:23" ht="16.2">
      <c r="A11" s="7" t="s">
        <v>70</v>
      </c>
      <c r="B11" s="3">
        <v>46502</v>
      </c>
      <c r="C11" s="3">
        <v>46580</v>
      </c>
      <c r="F11" s="3">
        <v>46593</v>
      </c>
      <c r="G11" s="3">
        <v>46627</v>
      </c>
      <c r="H11" s="3">
        <v>46670.333333333336</v>
      </c>
      <c r="I11" s="3">
        <v>46714.333333333336</v>
      </c>
    </row>
    <row r="12" spans="1:23" ht="16.2">
      <c r="A12" s="7" t="s">
        <v>71</v>
      </c>
      <c r="B12" s="3">
        <v>46186.555555555555</v>
      </c>
      <c r="C12" s="3">
        <v>46353.555555555555</v>
      </c>
    </row>
    <row r="13" spans="1:23" ht="16.2">
      <c r="A13" s="7" t="s">
        <v>72</v>
      </c>
      <c r="B13" s="3">
        <v>46353.555555555555</v>
      </c>
      <c r="C13" s="3">
        <v>46359.555555555555</v>
      </c>
    </row>
    <row r="14" spans="1:23">
      <c r="A14" s="16" t="s">
        <v>27</v>
      </c>
      <c r="B14" s="3">
        <v>46373.555555555555</v>
      </c>
      <c r="C14" s="3">
        <v>46391.555555555555</v>
      </c>
    </row>
    <row r="15" spans="1:23" ht="16.2">
      <c r="A15" s="6" t="s">
        <v>73</v>
      </c>
      <c r="H15" s="17">
        <v>46670.333333333336</v>
      </c>
      <c r="I15" s="17">
        <v>46730.333333333336</v>
      </c>
    </row>
    <row r="16" spans="1:23" ht="16.2">
      <c r="A16" s="8" t="s">
        <v>74</v>
      </c>
      <c r="B16" s="3">
        <v>46439.333333333336</v>
      </c>
      <c r="C16" s="3">
        <v>46533.333333333336</v>
      </c>
      <c r="D16" s="3">
        <v>46541.333333333336</v>
      </c>
      <c r="E16" s="3">
        <v>46560.333333333336</v>
      </c>
      <c r="F16" s="3">
        <v>46715.333333333336</v>
      </c>
      <c r="G16" s="3">
        <v>46728.333333333336</v>
      </c>
    </row>
    <row r="17" spans="1:11" ht="16.2">
      <c r="A17" s="8" t="s">
        <v>75</v>
      </c>
      <c r="D17" s="3">
        <v>46533.333333333336</v>
      </c>
      <c r="E17" s="3">
        <v>46541.333333333336</v>
      </c>
      <c r="F17" s="3">
        <v>46707.333333333336</v>
      </c>
      <c r="G17" s="3">
        <v>46715.333333333336</v>
      </c>
    </row>
    <row r="18" spans="1:11" ht="16.2">
      <c r="A18" s="7" t="s">
        <v>76</v>
      </c>
      <c r="B18" s="3">
        <v>46359.555555555555</v>
      </c>
      <c r="C18" s="3">
        <v>46373.555555555555</v>
      </c>
    </row>
    <row r="19" spans="1:11" ht="16.2">
      <c r="A19" s="7" t="s">
        <v>77</v>
      </c>
      <c r="J19" s="3">
        <v>46714.333333333336</v>
      </c>
      <c r="K19" s="3">
        <v>46774.333333333336</v>
      </c>
    </row>
    <row r="20" spans="1:11" ht="16.2">
      <c r="A20" s="8" t="s">
        <v>78</v>
      </c>
      <c r="B20" s="3">
        <v>46317.333333333336</v>
      </c>
      <c r="C20" s="3">
        <v>46363.333333333336</v>
      </c>
      <c r="D20" s="3">
        <v>46663.333333333336</v>
      </c>
      <c r="E20" s="3">
        <v>46707.333333333336</v>
      </c>
      <c r="H20" s="3">
        <v>46754.333333333336</v>
      </c>
      <c r="I20" s="3">
        <v>46760.333333333336</v>
      </c>
    </row>
    <row r="21" spans="1:11" ht="16.2">
      <c r="A21" s="8" t="s">
        <v>79</v>
      </c>
      <c r="B21" s="17">
        <v>46363.333333333336</v>
      </c>
      <c r="C21" s="17">
        <v>46439.333333333336</v>
      </c>
      <c r="D21" s="21">
        <v>46605.333333333336</v>
      </c>
      <c r="E21" s="21">
        <v>46663.333333333336</v>
      </c>
      <c r="F21" s="3">
        <v>46728.333333333336</v>
      </c>
      <c r="G21" s="3">
        <v>46754.333333333336</v>
      </c>
    </row>
    <row r="22" spans="1:11" ht="16.2">
      <c r="A22" s="8" t="s">
        <v>80</v>
      </c>
      <c r="B22" s="3">
        <v>46257.333333333336</v>
      </c>
      <c r="C22" s="3">
        <v>46317.333333333336</v>
      </c>
      <c r="D22" s="3">
        <v>46560.333333333336</v>
      </c>
      <c r="E22" s="3">
        <v>46605.333333333336</v>
      </c>
    </row>
    <row r="23" spans="1:11" ht="16.2">
      <c r="A23" s="7" t="s">
        <v>81</v>
      </c>
      <c r="B23" s="3">
        <v>46391.555555555555</v>
      </c>
      <c r="C23" s="3">
        <v>46405.555555555555</v>
      </c>
      <c r="F23" s="3">
        <v>46637</v>
      </c>
      <c r="G23" s="3">
        <v>46639</v>
      </c>
      <c r="J23" s="3">
        <v>46774.333333333336</v>
      </c>
      <c r="K23" s="3">
        <v>46776.333333333336</v>
      </c>
    </row>
    <row r="24" spans="1:11" ht="16.2">
      <c r="A24" s="7" t="s">
        <v>82</v>
      </c>
    </row>
    <row r="36" spans="1:1">
      <c r="A36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EB320-21E4-4A23-ACC6-CF752E820F07}">
  <dimension ref="A1:W24"/>
  <sheetViews>
    <sheetView tabSelected="1" workbookViewId="0">
      <selection activeCell="A22" sqref="A22"/>
    </sheetView>
  </sheetViews>
  <sheetFormatPr defaultRowHeight="15.6"/>
  <cols>
    <col min="1" max="1" width="44.88671875" style="1" customWidth="1"/>
    <col min="2" max="10" width="12.44140625" style="1" bestFit="1" customWidth="1"/>
    <col min="11" max="11" width="11.21875" style="1" bestFit="1" customWidth="1"/>
    <col min="12" max="14" width="8.88671875" style="1"/>
    <col min="15" max="15" width="11.21875" style="1" bestFit="1" customWidth="1"/>
    <col min="16" max="16" width="8.88671875" style="1"/>
    <col min="17" max="17" width="12.44140625" style="1" bestFit="1" customWidth="1"/>
    <col min="18" max="18" width="8.88671875" style="1"/>
    <col min="19" max="19" width="11.21875" style="1" bestFit="1" customWidth="1"/>
    <col min="20" max="20" width="8.88671875" style="1"/>
    <col min="21" max="21" width="12.44140625" style="1" bestFit="1" customWidth="1"/>
    <col min="22" max="22" width="8.88671875" style="1"/>
    <col min="23" max="23" width="11.21875" style="1" bestFit="1" customWidth="1"/>
    <col min="24" max="16384" width="8.88671875" style="1"/>
  </cols>
  <sheetData>
    <row r="1" spans="1:23">
      <c r="A1" s="1" t="s">
        <v>3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2"/>
      <c r="M1" s="2"/>
      <c r="N1" s="27" t="s">
        <v>52</v>
      </c>
      <c r="O1" s="2"/>
      <c r="P1" s="2"/>
      <c r="Q1" s="2"/>
      <c r="R1" s="2"/>
      <c r="S1" s="2"/>
      <c r="T1" s="2"/>
      <c r="U1" s="2"/>
    </row>
    <row r="2" spans="1:23">
      <c r="A2" s="5" t="s">
        <v>5</v>
      </c>
      <c r="B2" s="3">
        <v>45992</v>
      </c>
      <c r="C2" s="3">
        <f>B2+60</f>
        <v>46052</v>
      </c>
      <c r="D2" s="3"/>
      <c r="E2" s="3"/>
      <c r="F2" s="3"/>
      <c r="G2" s="3"/>
      <c r="H2" s="3"/>
      <c r="I2" s="3"/>
      <c r="N2" s="1" t="s">
        <v>54</v>
      </c>
      <c r="P2" s="1" t="s">
        <v>55</v>
      </c>
      <c r="R2" s="1" t="s">
        <v>56</v>
      </c>
      <c r="T2" s="1" t="s">
        <v>57</v>
      </c>
      <c r="V2" s="1" t="s">
        <v>58</v>
      </c>
    </row>
    <row r="3" spans="1:23">
      <c r="A3" s="5" t="s">
        <v>50</v>
      </c>
      <c r="B3" s="3">
        <f>C2-(C2-B2)/2</f>
        <v>46022</v>
      </c>
      <c r="C3" s="3">
        <f>B3+90</f>
        <v>46112</v>
      </c>
      <c r="D3" s="3"/>
      <c r="E3" s="3"/>
      <c r="F3" s="3"/>
      <c r="G3" s="3"/>
      <c r="H3" s="3"/>
      <c r="I3" s="3"/>
      <c r="N3" s="18"/>
      <c r="O3" s="3">
        <f>MAX(C6:C9,C15)</f>
        <v>46587.333333333336</v>
      </c>
      <c r="P3" s="18"/>
      <c r="Q3" s="3">
        <f>MAX(E6:E9,E15)</f>
        <v>46647.333333333336</v>
      </c>
      <c r="R3" s="18"/>
      <c r="S3" s="3">
        <f>MAX(G6:G9,G15)</f>
        <v>46662.333333333336</v>
      </c>
      <c r="T3" s="18"/>
      <c r="U3" s="3">
        <f>MAX(I6:I9,I15)</f>
        <v>46760.333333333336</v>
      </c>
      <c r="V3" s="18"/>
      <c r="W3" s="3">
        <f>MAX(K6:K9,K15)</f>
        <v>46775.333333333336</v>
      </c>
    </row>
    <row r="4" spans="1:23">
      <c r="A4" s="4" t="s">
        <v>4</v>
      </c>
      <c r="B4" s="3">
        <f>C3</f>
        <v>46112</v>
      </c>
      <c r="C4" s="3">
        <f>B4+60</f>
        <v>46172</v>
      </c>
      <c r="N4" s="19"/>
      <c r="O4" s="3">
        <f>MAX(C10:C14,C18:C19,C23:C24)</f>
        <v>46580</v>
      </c>
      <c r="P4" s="19"/>
      <c r="Q4" s="3">
        <f>MAX(E10:E14,E18:E19,E23:E24)</f>
        <v>46593</v>
      </c>
      <c r="R4" s="19"/>
      <c r="S4" s="3">
        <f>MAX(G10:G14,G18:G19,G23:G24)</f>
        <v>46639</v>
      </c>
      <c r="T4" s="19"/>
      <c r="U4" s="3">
        <f>MAX(I10:I14,I18:I19,I23:I24)</f>
        <v>46714.333333333336</v>
      </c>
      <c r="V4" s="19"/>
      <c r="W4" s="3">
        <f>MAX(K10:K14,K18:K19,K23:K24)</f>
        <v>46776.333333333336</v>
      </c>
    </row>
    <row r="5" spans="1:23">
      <c r="A5" s="1" t="s">
        <v>0</v>
      </c>
      <c r="B5" s="3">
        <f>C4</f>
        <v>46172</v>
      </c>
      <c r="C5" s="3">
        <f>B5+30</f>
        <v>46202</v>
      </c>
      <c r="N5" s="20"/>
      <c r="O5" s="3">
        <f>MAX(C16:C17,C20:C22)</f>
        <v>46533.333333333336</v>
      </c>
      <c r="P5" s="20"/>
      <c r="Q5" s="3">
        <f>MAX(E16:E17,E20:E22)</f>
        <v>46707.333333333336</v>
      </c>
      <c r="R5" s="20"/>
      <c r="S5" s="3">
        <f>MAX(G16:G17,G20:G22)</f>
        <v>46754.333333333336</v>
      </c>
      <c r="T5" s="20"/>
      <c r="U5" s="3">
        <f>MAX(I16:I17,I20:I22)</f>
        <v>46760.333333333336</v>
      </c>
      <c r="V5" s="20"/>
      <c r="W5" s="3"/>
    </row>
    <row r="6" spans="1:23">
      <c r="A6" s="15" t="s">
        <v>7</v>
      </c>
      <c r="B6" s="3">
        <f>C5</f>
        <v>46202</v>
      </c>
      <c r="C6" s="3">
        <f>B6+83</f>
        <v>46285</v>
      </c>
      <c r="H6" s="3">
        <f>S3</f>
        <v>46662.333333333336</v>
      </c>
      <c r="I6" s="3">
        <f>H6+8</f>
        <v>46670.333333333336</v>
      </c>
    </row>
    <row r="7" spans="1:23">
      <c r="A7" s="15" t="s">
        <v>8</v>
      </c>
      <c r="B7" s="17">
        <f>C6-(C6-B6)/3</f>
        <v>46257.333333333336</v>
      </c>
      <c r="C7" s="17">
        <f>B7+240</f>
        <v>46497.333333333336</v>
      </c>
    </row>
    <row r="8" spans="1:23" ht="16.2">
      <c r="A8" s="6" t="s">
        <v>24</v>
      </c>
      <c r="B8" s="17">
        <f>C9</f>
        <v>46512.333333333336</v>
      </c>
      <c r="C8" s="17">
        <f>C9+75</f>
        <v>46587.333333333336</v>
      </c>
      <c r="D8" s="3">
        <f>O3</f>
        <v>46587.333333333336</v>
      </c>
      <c r="E8" s="3">
        <f>D8+60</f>
        <v>46647.333333333336</v>
      </c>
      <c r="F8" s="3">
        <f>Q3</f>
        <v>46647.333333333336</v>
      </c>
      <c r="G8" s="3">
        <f>F8+15</f>
        <v>46662.333333333336</v>
      </c>
      <c r="H8" s="3">
        <f>I15</f>
        <v>46730.333333333336</v>
      </c>
      <c r="I8" s="3">
        <f>H8+30</f>
        <v>46760.333333333336</v>
      </c>
      <c r="J8" s="3">
        <f>U3</f>
        <v>46760.333333333336</v>
      </c>
      <c r="K8" s="3">
        <f>J8+15</f>
        <v>46775.333333333336</v>
      </c>
    </row>
    <row r="9" spans="1:23" ht="16.2">
      <c r="A9" s="6" t="s">
        <v>25</v>
      </c>
      <c r="B9" s="3">
        <f>C7</f>
        <v>46497.333333333336</v>
      </c>
      <c r="C9" s="3">
        <f>B9+15</f>
        <v>46512.333333333336</v>
      </c>
    </row>
    <row r="10" spans="1:23" ht="16.2">
      <c r="A10" s="7" t="s">
        <v>26</v>
      </c>
      <c r="D10" s="3">
        <f>O4</f>
        <v>46580</v>
      </c>
      <c r="E10" s="3">
        <f>D10+13</f>
        <v>46593</v>
      </c>
      <c r="F10" s="3">
        <f>G11</f>
        <v>46627</v>
      </c>
      <c r="G10" s="3">
        <f>F10+10</f>
        <v>46637</v>
      </c>
    </row>
    <row r="11" spans="1:23" ht="16.2">
      <c r="A11" s="7" t="s">
        <v>51</v>
      </c>
      <c r="B11" s="3">
        <f>C16-(C16-B16)/3</f>
        <v>46502</v>
      </c>
      <c r="C11" s="3">
        <f>B11+78</f>
        <v>46580</v>
      </c>
      <c r="F11" s="3">
        <f>Q4</f>
        <v>46593</v>
      </c>
      <c r="G11" s="3">
        <f>F11+34</f>
        <v>46627</v>
      </c>
      <c r="H11" s="3">
        <f>I6</f>
        <v>46670.333333333336</v>
      </c>
      <c r="I11" s="3">
        <f>H11+44</f>
        <v>46714.333333333336</v>
      </c>
    </row>
    <row r="12" spans="1:23" ht="16.2">
      <c r="A12" s="7" t="s">
        <v>12</v>
      </c>
      <c r="B12" s="3">
        <f>C6-(C7-B6)/3</f>
        <v>46186.555555555555</v>
      </c>
      <c r="C12" s="3">
        <f>B12+167</f>
        <v>46353.555555555555</v>
      </c>
    </row>
    <row r="13" spans="1:23" ht="16.2">
      <c r="A13" s="7" t="s">
        <v>28</v>
      </c>
      <c r="B13" s="3">
        <f>C12</f>
        <v>46353.555555555555</v>
      </c>
      <c r="C13" s="3">
        <f>B13+6</f>
        <v>46359.555555555555</v>
      </c>
    </row>
    <row r="14" spans="1:23">
      <c r="A14" s="16" t="s">
        <v>83</v>
      </c>
      <c r="B14" s="3">
        <f>C18</f>
        <v>46373.555555555555</v>
      </c>
      <c r="C14" s="3">
        <f>B14+18</f>
        <v>46391.555555555555</v>
      </c>
    </row>
    <row r="15" spans="1:23" ht="16.2">
      <c r="A15" s="6" t="s">
        <v>13</v>
      </c>
      <c r="H15" s="17">
        <f>I6</f>
        <v>46670.333333333336</v>
      </c>
      <c r="I15" s="17">
        <f>H15+60</f>
        <v>46730.333333333336</v>
      </c>
    </row>
    <row r="16" spans="1:23" ht="16.2">
      <c r="A16" s="8" t="s">
        <v>29</v>
      </c>
      <c r="B16" s="3">
        <f>C21</f>
        <v>46439.333333333336</v>
      </c>
      <c r="C16" s="3">
        <f>B16+94</f>
        <v>46533.333333333336</v>
      </c>
      <c r="D16" s="3">
        <f>E17</f>
        <v>46541.333333333336</v>
      </c>
      <c r="E16" s="3">
        <f>D16+19</f>
        <v>46560.333333333336</v>
      </c>
      <c r="F16" s="3">
        <f>G17</f>
        <v>46715.333333333336</v>
      </c>
      <c r="G16" s="3">
        <f>F16+13</f>
        <v>46728.333333333336</v>
      </c>
    </row>
    <row r="17" spans="1:11" ht="16.2">
      <c r="A17" s="8" t="s">
        <v>49</v>
      </c>
      <c r="D17" s="3">
        <f>O5</f>
        <v>46533.333333333336</v>
      </c>
      <c r="E17" s="3">
        <f>D17+8</f>
        <v>46541.333333333336</v>
      </c>
      <c r="F17" s="3">
        <f>Q5</f>
        <v>46707.333333333336</v>
      </c>
      <c r="G17" s="3">
        <f>F17+8</f>
        <v>46715.333333333336</v>
      </c>
    </row>
    <row r="18" spans="1:11" ht="16.2">
      <c r="A18" s="7" t="s">
        <v>30</v>
      </c>
      <c r="B18" s="3">
        <f>C13</f>
        <v>46359.555555555555</v>
      </c>
      <c r="C18" s="3">
        <f>B18+14</f>
        <v>46373.555555555555</v>
      </c>
    </row>
    <row r="19" spans="1:11" ht="16.2">
      <c r="A19" s="7" t="s">
        <v>31</v>
      </c>
      <c r="J19" s="3">
        <f>U4</f>
        <v>46714.333333333336</v>
      </c>
      <c r="K19" s="3">
        <f>J19+60</f>
        <v>46774.333333333336</v>
      </c>
    </row>
    <row r="20" spans="1:11" ht="16.2">
      <c r="A20" s="8" t="s">
        <v>32</v>
      </c>
      <c r="B20" s="3">
        <f>C22</f>
        <v>46317.333333333336</v>
      </c>
      <c r="C20" s="3">
        <f>B20+46</f>
        <v>46363.333333333336</v>
      </c>
      <c r="D20" s="3">
        <f>E21</f>
        <v>46663.333333333336</v>
      </c>
      <c r="E20" s="3">
        <f>D20+44</f>
        <v>46707.333333333336</v>
      </c>
      <c r="H20" s="3">
        <f>S5</f>
        <v>46754.333333333336</v>
      </c>
      <c r="I20" s="3">
        <f>H20+6</f>
        <v>46760.333333333336</v>
      </c>
    </row>
    <row r="21" spans="1:11" ht="16.2">
      <c r="A21" s="8" t="s">
        <v>33</v>
      </c>
      <c r="B21" s="17">
        <f>C20</f>
        <v>46363.333333333336</v>
      </c>
      <c r="C21" s="17">
        <f>B21+76</f>
        <v>46439.333333333336</v>
      </c>
      <c r="D21" s="21">
        <f>E22</f>
        <v>46605.333333333336</v>
      </c>
      <c r="E21" s="21">
        <f>D21+58</f>
        <v>46663.333333333336</v>
      </c>
      <c r="F21" s="3">
        <f>G16</f>
        <v>46728.333333333336</v>
      </c>
      <c r="G21" s="3">
        <f>F21+26</f>
        <v>46754.333333333336</v>
      </c>
    </row>
    <row r="22" spans="1:11" ht="16.2">
      <c r="A22" s="8" t="s">
        <v>34</v>
      </c>
      <c r="B22" s="3">
        <f>C6-(C6-B6)/3</f>
        <v>46257.333333333336</v>
      </c>
      <c r="C22" s="3">
        <f>B22+60</f>
        <v>46317.333333333336</v>
      </c>
      <c r="D22" s="3">
        <f>E16</f>
        <v>46560.333333333336</v>
      </c>
      <c r="E22" s="3">
        <f>D22+45</f>
        <v>46605.333333333336</v>
      </c>
    </row>
    <row r="23" spans="1:11" ht="16.2">
      <c r="A23" s="7" t="s">
        <v>35</v>
      </c>
      <c r="B23" s="3">
        <f>C14</f>
        <v>46391.555555555555</v>
      </c>
      <c r="C23" s="3">
        <f>B23+14</f>
        <v>46405.555555555555</v>
      </c>
      <c r="F23" s="3">
        <f>G10</f>
        <v>46637</v>
      </c>
      <c r="G23" s="3">
        <f>F23+2</f>
        <v>46639</v>
      </c>
      <c r="J23" s="3">
        <f>K19</f>
        <v>46774.333333333336</v>
      </c>
      <c r="K23" s="3">
        <f>J23+2</f>
        <v>46776.333333333336</v>
      </c>
    </row>
    <row r="24" spans="1:11" ht="16.2">
      <c r="A24" s="7" t="s">
        <v>36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1154-6A94-4418-A0EE-E01254C38686}">
  <dimension ref="A1:Z22"/>
  <sheetViews>
    <sheetView workbookViewId="0">
      <selection activeCell="F36" sqref="F36"/>
    </sheetView>
  </sheetViews>
  <sheetFormatPr defaultRowHeight="16.2"/>
  <cols>
    <col min="1" max="1" width="30.5546875" bestFit="1" customWidth="1"/>
  </cols>
  <sheetData>
    <row r="1" spans="1:26">
      <c r="B1" s="31" t="s">
        <v>37</v>
      </c>
      <c r="C1" s="31"/>
      <c r="D1" s="28" t="s">
        <v>38</v>
      </c>
      <c r="E1" s="29"/>
      <c r="F1" s="29"/>
      <c r="G1" s="30"/>
      <c r="H1" s="28" t="s">
        <v>39</v>
      </c>
      <c r="I1" s="29"/>
      <c r="J1" s="29"/>
      <c r="K1" s="30"/>
      <c r="L1" s="28" t="s">
        <v>40</v>
      </c>
      <c r="M1" s="29"/>
      <c r="N1" s="29"/>
      <c r="O1" s="30"/>
      <c r="P1" s="28" t="s">
        <v>41</v>
      </c>
      <c r="Q1" s="29"/>
      <c r="R1" s="29"/>
      <c r="S1" s="30"/>
      <c r="T1" s="28" t="s">
        <v>42</v>
      </c>
      <c r="U1" s="29"/>
      <c r="V1" s="29"/>
      <c r="W1" s="30"/>
    </row>
    <row r="2" spans="1:26">
      <c r="A2" t="s">
        <v>43</v>
      </c>
      <c r="B2" t="s">
        <v>6</v>
      </c>
      <c r="C2" t="s">
        <v>44</v>
      </c>
      <c r="D2" s="9" t="s">
        <v>6</v>
      </c>
      <c r="E2" t="s">
        <v>44</v>
      </c>
      <c r="F2" t="s">
        <v>45</v>
      </c>
      <c r="G2" s="10" t="s">
        <v>46</v>
      </c>
      <c r="H2" s="9" t="s">
        <v>6</v>
      </c>
      <c r="I2" t="s">
        <v>44</v>
      </c>
      <c r="J2" t="s">
        <v>45</v>
      </c>
      <c r="K2" s="10" t="s">
        <v>46</v>
      </c>
      <c r="L2" s="9" t="s">
        <v>6</v>
      </c>
      <c r="M2" t="s">
        <v>44</v>
      </c>
      <c r="N2" t="s">
        <v>45</v>
      </c>
      <c r="O2" s="10" t="s">
        <v>46</v>
      </c>
      <c r="P2" s="9" t="s">
        <v>6</v>
      </c>
      <c r="Q2" t="s">
        <v>44</v>
      </c>
      <c r="R2" t="s">
        <v>45</v>
      </c>
      <c r="S2" s="10" t="s">
        <v>46</v>
      </c>
      <c r="T2" s="9" t="s">
        <v>6</v>
      </c>
      <c r="U2" t="s">
        <v>44</v>
      </c>
      <c r="V2" t="s">
        <v>45</v>
      </c>
      <c r="W2" s="10" t="s">
        <v>46</v>
      </c>
    </row>
    <row r="3" spans="1:26">
      <c r="A3" s="6" t="s">
        <v>47</v>
      </c>
      <c r="B3">
        <v>1000</v>
      </c>
      <c r="C3">
        <v>7</v>
      </c>
      <c r="D3" s="22">
        <v>11728</v>
      </c>
      <c r="E3" s="23">
        <f>ROUNDUP((D3/$B3)*$C3,0)</f>
        <v>83</v>
      </c>
      <c r="G3" s="10"/>
      <c r="H3" s="9"/>
      <c r="K3" s="10"/>
      <c r="L3" s="9"/>
      <c r="O3" s="10"/>
      <c r="P3" s="22">
        <v>1077</v>
      </c>
      <c r="Q3" s="23">
        <f>ROUNDUP((P3/$B3)*$C3,0)</f>
        <v>8</v>
      </c>
      <c r="S3" s="10"/>
      <c r="T3" s="9"/>
      <c r="W3" s="10"/>
      <c r="X3" s="11">
        <f>SUM(E3,I3,M3,Q3,U3)</f>
        <v>91</v>
      </c>
    </row>
    <row r="4" spans="1:26">
      <c r="A4" s="6" t="s">
        <v>48</v>
      </c>
      <c r="B4">
        <v>1</v>
      </c>
      <c r="C4">
        <v>3</v>
      </c>
      <c r="D4" s="22">
        <v>160</v>
      </c>
      <c r="E4" s="23">
        <f t="shared" ref="E4:E21" si="0">ROUNDUP((D4/$B4)*$C4,0)</f>
        <v>480</v>
      </c>
      <c r="G4" s="10"/>
      <c r="H4" s="9"/>
      <c r="K4" s="10"/>
      <c r="L4" s="9"/>
      <c r="O4" s="10"/>
      <c r="P4" s="9"/>
      <c r="Q4" s="11"/>
      <c r="S4" s="10"/>
      <c r="T4" s="9"/>
      <c r="W4" s="10"/>
      <c r="X4" s="11">
        <f t="shared" ref="X4:X22" si="1">SUM(E4,I4,M4,Q4,U4)</f>
        <v>480</v>
      </c>
    </row>
    <row r="5" spans="1:26">
      <c r="A5" s="6" t="s">
        <v>9</v>
      </c>
      <c r="B5">
        <v>1</v>
      </c>
      <c r="C5">
        <v>15</v>
      </c>
      <c r="D5" s="22">
        <v>10</v>
      </c>
      <c r="E5" s="23">
        <f t="shared" si="0"/>
        <v>150</v>
      </c>
      <c r="G5" s="10"/>
      <c r="H5" s="22">
        <v>4</v>
      </c>
      <c r="I5" s="24">
        <f>ROUNDUP((H5/$B5)*$C5,0)</f>
        <v>60</v>
      </c>
      <c r="K5" s="10"/>
      <c r="L5" s="22">
        <v>1</v>
      </c>
      <c r="M5" s="24">
        <f>ROUNDUP((L5/$B5)*$C5,0)</f>
        <v>15</v>
      </c>
      <c r="O5" s="10"/>
      <c r="P5" s="22">
        <v>2</v>
      </c>
      <c r="Q5" s="23">
        <f t="shared" ref="Q5:Q11" si="2">ROUNDUP((P5/$B5)*$C5,0)</f>
        <v>30</v>
      </c>
      <c r="S5" s="10"/>
      <c r="T5" s="22">
        <v>1</v>
      </c>
      <c r="U5" s="24">
        <f>ROUNDUP((T5/$B5)*$C5,0)</f>
        <v>15</v>
      </c>
      <c r="W5" s="10"/>
      <c r="X5" s="11">
        <f t="shared" si="1"/>
        <v>270</v>
      </c>
    </row>
    <row r="6" spans="1:26">
      <c r="A6" s="6" t="s">
        <v>10</v>
      </c>
      <c r="B6">
        <v>1</v>
      </c>
      <c r="C6">
        <v>15</v>
      </c>
      <c r="D6" s="22">
        <v>1</v>
      </c>
      <c r="E6" s="23">
        <f t="shared" si="0"/>
        <v>15</v>
      </c>
      <c r="G6" s="10"/>
      <c r="H6" s="9"/>
      <c r="K6" s="10"/>
      <c r="L6" s="9"/>
      <c r="O6" s="10"/>
      <c r="P6" s="9"/>
      <c r="Q6" s="11"/>
      <c r="S6" s="10"/>
      <c r="T6" s="9"/>
      <c r="W6" s="10"/>
      <c r="X6" s="11">
        <f t="shared" si="1"/>
        <v>15</v>
      </c>
    </row>
    <row r="7" spans="1:26">
      <c r="A7" s="7" t="s">
        <v>11</v>
      </c>
      <c r="B7">
        <v>20</v>
      </c>
      <c r="C7">
        <v>20</v>
      </c>
      <c r="D7" s="9"/>
      <c r="E7" s="11"/>
      <c r="G7" s="10"/>
      <c r="H7" s="22">
        <v>13</v>
      </c>
      <c r="I7" s="24">
        <f t="shared" ref="I7:I20" si="3">ROUNDUP((H7/$B7)*$C7,0)</f>
        <v>13</v>
      </c>
      <c r="K7" s="10"/>
      <c r="L7" s="22">
        <v>10</v>
      </c>
      <c r="M7" s="24">
        <f t="shared" ref="M7:M21" si="4">ROUNDUP((L7/$B7)*$C7,0)</f>
        <v>10</v>
      </c>
      <c r="O7" s="10"/>
      <c r="P7" s="9"/>
      <c r="Q7" s="11"/>
      <c r="S7" s="10"/>
      <c r="T7" s="9"/>
      <c r="W7" s="10"/>
      <c r="X7" s="11">
        <f t="shared" si="1"/>
        <v>23</v>
      </c>
      <c r="Z7" s="11"/>
    </row>
    <row r="8" spans="1:26">
      <c r="A8" s="7" t="s">
        <v>51</v>
      </c>
      <c r="B8">
        <v>20</v>
      </c>
      <c r="C8">
        <v>30</v>
      </c>
      <c r="D8" s="22">
        <v>51.5</v>
      </c>
      <c r="E8" s="23">
        <f t="shared" si="0"/>
        <v>78</v>
      </c>
      <c r="G8" s="10"/>
      <c r="H8" s="9"/>
      <c r="K8" s="10"/>
      <c r="O8" s="10"/>
      <c r="P8" s="22">
        <v>29.2</v>
      </c>
      <c r="Q8" s="23">
        <f t="shared" si="2"/>
        <v>44</v>
      </c>
      <c r="S8" s="10"/>
      <c r="T8" s="9"/>
      <c r="W8" s="10"/>
      <c r="X8" s="11">
        <f t="shared" si="1"/>
        <v>122</v>
      </c>
    </row>
    <row r="9" spans="1:26">
      <c r="A9" s="7" t="s">
        <v>53</v>
      </c>
      <c r="D9" s="9"/>
      <c r="E9" s="11"/>
      <c r="G9" s="10"/>
      <c r="H9" s="9"/>
      <c r="K9" s="10"/>
      <c r="L9" s="22">
        <v>22.4</v>
      </c>
      <c r="M9" s="24">
        <f>ROUNDUP((L9/$B8)*$C8,0)</f>
        <v>34</v>
      </c>
      <c r="O9" s="10"/>
      <c r="P9" s="9"/>
      <c r="Q9" s="11"/>
      <c r="S9" s="10"/>
      <c r="T9" s="9"/>
      <c r="W9" s="10"/>
      <c r="X9" s="11">
        <f t="shared" si="1"/>
        <v>34</v>
      </c>
    </row>
    <row r="10" spans="1:26">
      <c r="A10" s="7" t="s">
        <v>12</v>
      </c>
      <c r="B10">
        <v>1</v>
      </c>
      <c r="C10">
        <v>0.2</v>
      </c>
      <c r="D10" s="22">
        <v>833</v>
      </c>
      <c r="E10" s="23">
        <f t="shared" si="0"/>
        <v>167</v>
      </c>
      <c r="G10" s="10"/>
      <c r="H10" s="9"/>
      <c r="K10" s="10"/>
      <c r="L10" s="9"/>
      <c r="O10" s="10"/>
      <c r="P10" s="9"/>
      <c r="Q10" s="11"/>
      <c r="S10" s="10"/>
      <c r="T10" s="9"/>
      <c r="W10" s="10"/>
      <c r="X10" s="11">
        <f t="shared" si="1"/>
        <v>167</v>
      </c>
    </row>
    <row r="11" spans="1:26">
      <c r="A11" s="6" t="s">
        <v>13</v>
      </c>
      <c r="B11">
        <v>1000</v>
      </c>
      <c r="C11">
        <v>95</v>
      </c>
      <c r="D11" s="9"/>
      <c r="E11" s="11"/>
      <c r="G11" s="10"/>
      <c r="H11" s="9"/>
      <c r="K11" s="10"/>
      <c r="L11" s="9"/>
      <c r="O11" s="10"/>
      <c r="P11" s="22">
        <v>1261</v>
      </c>
      <c r="Q11" s="23">
        <f t="shared" si="2"/>
        <v>120</v>
      </c>
      <c r="S11" s="10"/>
      <c r="T11" s="9"/>
      <c r="W11" s="10"/>
      <c r="X11" s="11">
        <f t="shared" si="1"/>
        <v>120</v>
      </c>
    </row>
    <row r="12" spans="1:26">
      <c r="A12" s="7" t="s">
        <v>14</v>
      </c>
      <c r="B12">
        <v>20</v>
      </c>
      <c r="C12">
        <v>20</v>
      </c>
      <c r="D12" s="22">
        <v>18</v>
      </c>
      <c r="E12" s="23">
        <f t="shared" si="0"/>
        <v>18</v>
      </c>
      <c r="G12" s="10"/>
      <c r="H12" s="9"/>
      <c r="K12" s="10"/>
      <c r="L12" s="9"/>
      <c r="O12" s="10"/>
      <c r="P12" s="9"/>
      <c r="S12" s="10"/>
      <c r="T12" s="9"/>
      <c r="W12" s="10"/>
      <c r="X12" s="11">
        <f t="shared" si="1"/>
        <v>18</v>
      </c>
    </row>
    <row r="13" spans="1:26">
      <c r="A13" s="7" t="s">
        <v>15</v>
      </c>
      <c r="B13">
        <v>1000</v>
      </c>
      <c r="C13">
        <v>5</v>
      </c>
      <c r="D13" s="22">
        <v>1021</v>
      </c>
      <c r="E13" s="23">
        <f t="shared" si="0"/>
        <v>6</v>
      </c>
      <c r="G13" s="10"/>
      <c r="H13" s="9"/>
      <c r="K13" s="10"/>
      <c r="L13" s="9"/>
      <c r="O13" s="10"/>
      <c r="P13" s="9"/>
      <c r="S13" s="10"/>
      <c r="T13" s="9"/>
      <c r="W13" s="10"/>
      <c r="X13" s="11">
        <f t="shared" si="1"/>
        <v>6</v>
      </c>
    </row>
    <row r="14" spans="1:26">
      <c r="A14" s="8" t="s">
        <v>16</v>
      </c>
      <c r="B14">
        <v>20</v>
      </c>
      <c r="C14">
        <v>25</v>
      </c>
      <c r="D14" s="22">
        <v>75</v>
      </c>
      <c r="E14" s="23">
        <f t="shared" si="0"/>
        <v>94</v>
      </c>
      <c r="G14" s="10"/>
      <c r="H14" s="22">
        <v>15</v>
      </c>
      <c r="I14" s="24">
        <f t="shared" si="3"/>
        <v>19</v>
      </c>
      <c r="K14" s="10"/>
      <c r="L14" s="22">
        <v>10</v>
      </c>
      <c r="M14" s="24">
        <f t="shared" si="4"/>
        <v>13</v>
      </c>
      <c r="O14" s="10"/>
      <c r="P14" s="9"/>
      <c r="S14" s="10"/>
      <c r="T14" s="9"/>
      <c r="W14" s="10"/>
      <c r="X14" s="11">
        <f t="shared" si="1"/>
        <v>126</v>
      </c>
      <c r="Z14" s="11"/>
    </row>
    <row r="15" spans="1:26">
      <c r="A15" s="8" t="s">
        <v>49</v>
      </c>
      <c r="B15">
        <v>25</v>
      </c>
      <c r="C15">
        <v>20</v>
      </c>
      <c r="D15" s="9"/>
      <c r="E15" s="11"/>
      <c r="G15" s="10"/>
      <c r="H15" s="22">
        <v>10</v>
      </c>
      <c r="I15" s="24">
        <f>ROUNDUP((H15/$B15)*$C15,0)</f>
        <v>8</v>
      </c>
      <c r="K15" s="10"/>
      <c r="L15" s="22">
        <v>10</v>
      </c>
      <c r="M15" s="24">
        <f t="shared" si="4"/>
        <v>8</v>
      </c>
      <c r="O15" s="10"/>
      <c r="P15" s="9"/>
      <c r="S15" s="10"/>
      <c r="T15" s="9"/>
      <c r="W15" s="10"/>
      <c r="X15" s="11">
        <f t="shared" si="1"/>
        <v>16</v>
      </c>
    </row>
    <row r="16" spans="1:26">
      <c r="A16" s="7" t="s">
        <v>17</v>
      </c>
      <c r="B16">
        <v>1</v>
      </c>
      <c r="C16">
        <v>0.2</v>
      </c>
      <c r="D16" s="22">
        <v>70</v>
      </c>
      <c r="E16" s="23">
        <f t="shared" si="0"/>
        <v>14</v>
      </c>
      <c r="G16" s="10"/>
      <c r="H16" s="9"/>
      <c r="K16" s="10"/>
      <c r="L16" s="9"/>
      <c r="O16" s="10"/>
      <c r="P16" s="9"/>
      <c r="S16" s="10"/>
      <c r="T16" s="9"/>
      <c r="W16" s="10"/>
      <c r="X16" s="11">
        <f t="shared" si="1"/>
        <v>14</v>
      </c>
    </row>
    <row r="17" spans="1:24">
      <c r="A17" s="7" t="s">
        <v>18</v>
      </c>
      <c r="B17">
        <v>1</v>
      </c>
      <c r="C17">
        <v>0.2</v>
      </c>
      <c r="D17" s="9"/>
      <c r="E17" s="11"/>
      <c r="G17" s="10"/>
      <c r="H17" s="9"/>
      <c r="K17" s="10"/>
      <c r="L17" s="9"/>
      <c r="O17" s="10"/>
      <c r="P17" s="9"/>
      <c r="S17" s="10"/>
      <c r="T17" s="22">
        <v>300</v>
      </c>
      <c r="U17" s="24">
        <f t="shared" ref="U17:U22" si="5">ROUNDUP((T17/$B17)*$C17,0)</f>
        <v>60</v>
      </c>
      <c r="W17" s="10"/>
      <c r="X17" s="11">
        <f t="shared" si="1"/>
        <v>60</v>
      </c>
    </row>
    <row r="18" spans="1:24">
      <c r="A18" s="8" t="s">
        <v>19</v>
      </c>
      <c r="B18">
        <v>1</v>
      </c>
      <c r="C18">
        <v>0.5</v>
      </c>
      <c r="D18" s="22">
        <v>91.25</v>
      </c>
      <c r="E18" s="23">
        <f t="shared" si="0"/>
        <v>46</v>
      </c>
      <c r="G18" s="10"/>
      <c r="H18" s="22">
        <v>87.9</v>
      </c>
      <c r="I18" s="24">
        <f t="shared" si="3"/>
        <v>44</v>
      </c>
      <c r="K18" s="10"/>
      <c r="L18" s="9"/>
      <c r="O18" s="10"/>
      <c r="P18" s="22">
        <v>10.7</v>
      </c>
      <c r="Q18" s="23">
        <f t="shared" ref="Q18" si="6">ROUNDUP((P18/$B18)*$C18,0)</f>
        <v>6</v>
      </c>
      <c r="S18" s="10"/>
      <c r="T18" s="9"/>
      <c r="W18" s="10"/>
      <c r="X18" s="11">
        <f t="shared" si="1"/>
        <v>96</v>
      </c>
    </row>
    <row r="19" spans="1:24">
      <c r="A19" s="8" t="s">
        <v>20</v>
      </c>
      <c r="B19">
        <v>1</v>
      </c>
      <c r="C19">
        <v>0.4</v>
      </c>
      <c r="D19" s="22">
        <v>378.8</v>
      </c>
      <c r="E19" s="23">
        <f t="shared" si="0"/>
        <v>152</v>
      </c>
      <c r="G19" s="10"/>
      <c r="H19" s="22">
        <v>145</v>
      </c>
      <c r="I19" s="24">
        <f t="shared" si="3"/>
        <v>58</v>
      </c>
      <c r="K19" s="10"/>
      <c r="L19" s="22">
        <v>64</v>
      </c>
      <c r="M19" s="24">
        <f t="shared" si="4"/>
        <v>26</v>
      </c>
      <c r="O19" s="10"/>
      <c r="P19" s="9"/>
      <c r="S19" s="10"/>
      <c r="T19" s="9"/>
      <c r="W19" s="10"/>
      <c r="X19" s="11">
        <f t="shared" si="1"/>
        <v>236</v>
      </c>
    </row>
    <row r="20" spans="1:24">
      <c r="A20" s="8" t="s">
        <v>21</v>
      </c>
      <c r="B20">
        <v>1</v>
      </c>
      <c r="C20">
        <v>15</v>
      </c>
      <c r="D20" s="22">
        <v>4</v>
      </c>
      <c r="E20" s="23">
        <f t="shared" si="0"/>
        <v>60</v>
      </c>
      <c r="G20" s="10"/>
      <c r="H20" s="22">
        <v>3</v>
      </c>
      <c r="I20" s="24">
        <f t="shared" si="3"/>
        <v>45</v>
      </c>
      <c r="K20" s="10"/>
      <c r="L20" s="9"/>
      <c r="O20" s="10"/>
      <c r="P20" s="9"/>
      <c r="S20" s="10"/>
      <c r="T20" s="9"/>
      <c r="W20" s="10"/>
      <c r="X20" s="11">
        <f t="shared" si="1"/>
        <v>105</v>
      </c>
    </row>
    <row r="21" spans="1:24">
      <c r="A21" s="7" t="s">
        <v>22</v>
      </c>
      <c r="B21">
        <v>100</v>
      </c>
      <c r="C21">
        <v>1</v>
      </c>
      <c r="D21" s="22">
        <v>1350</v>
      </c>
      <c r="E21" s="23">
        <f t="shared" si="0"/>
        <v>14</v>
      </c>
      <c r="G21" s="10"/>
      <c r="H21" s="9"/>
      <c r="K21" s="10"/>
      <c r="L21" s="22">
        <v>185</v>
      </c>
      <c r="M21" s="24">
        <f t="shared" si="4"/>
        <v>2</v>
      </c>
      <c r="O21" s="10"/>
      <c r="P21" s="9"/>
      <c r="S21" s="10"/>
      <c r="T21" s="9"/>
      <c r="W21" s="10"/>
      <c r="X21" s="11">
        <f t="shared" si="1"/>
        <v>16</v>
      </c>
    </row>
    <row r="22" spans="1:24">
      <c r="A22" s="7" t="s">
        <v>23</v>
      </c>
      <c r="B22">
        <v>20</v>
      </c>
      <c r="C22">
        <v>1</v>
      </c>
      <c r="D22" s="12"/>
      <c r="E22" s="13"/>
      <c r="F22" s="13"/>
      <c r="G22" s="14"/>
      <c r="H22" s="12"/>
      <c r="I22" s="13"/>
      <c r="J22" s="13"/>
      <c r="K22" s="14"/>
      <c r="L22" s="12"/>
      <c r="M22" s="13"/>
      <c r="N22" s="13"/>
      <c r="O22" s="14"/>
      <c r="P22" s="12"/>
      <c r="Q22" s="13"/>
      <c r="R22" s="13"/>
      <c r="S22" s="14"/>
      <c r="T22" s="25">
        <v>24</v>
      </c>
      <c r="U22" s="26">
        <f t="shared" si="5"/>
        <v>2</v>
      </c>
      <c r="V22" s="13"/>
      <c r="W22" s="14"/>
      <c r="X22" s="11">
        <f t="shared" si="1"/>
        <v>2</v>
      </c>
    </row>
  </sheetData>
  <mergeCells count="6">
    <mergeCell ref="T1:W1"/>
    <mergeCell ref="B1:C1"/>
    <mergeCell ref="D1:G1"/>
    <mergeCell ref="H1:K1"/>
    <mergeCell ref="L1:O1"/>
    <mergeCell ref="P1:S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布洛灣</vt:lpstr>
      <vt:lpstr>計算檔</vt:lpstr>
      <vt:lpstr>工期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 地工部 張桂瑛</dc:creator>
  <cp:lastModifiedBy>GT 地工部 林信宏</cp:lastModifiedBy>
  <dcterms:created xsi:type="dcterms:W3CDTF">2025-02-05T08:15:41Z</dcterms:created>
  <dcterms:modified xsi:type="dcterms:W3CDTF">2025-11-25T12:36:48Z</dcterms:modified>
</cp:coreProperties>
</file>